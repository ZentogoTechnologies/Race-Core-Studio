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esus Fernandez\Desktop\RacingApp\uploads\Drivers\"/>
    </mc:Choice>
  </mc:AlternateContent>
  <xr:revisionPtr revIDLastSave="0" documentId="13_ncr:1_{72C3BE86-1457-4C1D-9D37-DEA5B04592CE}" xr6:coauthVersionLast="47" xr6:coauthVersionMax="47" xr10:uidLastSave="{00000000-0000-0000-0000-000000000000}"/>
  <bookViews>
    <workbookView xWindow="-28920" yWindow="474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2" i="1" l="1"/>
  <c r="K22" i="1"/>
  <c r="BD33" i="1"/>
  <c r="BC33" i="1"/>
  <c r="BB33" i="1"/>
  <c r="BD32" i="1"/>
  <c r="BC32" i="1"/>
  <c r="BB32" i="1"/>
  <c r="BB29" i="1"/>
  <c r="BC29" i="1"/>
  <c r="BD29" i="1"/>
  <c r="BB30" i="1"/>
  <c r="BC30" i="1"/>
  <c r="BD30" i="1"/>
  <c r="BB31" i="1"/>
  <c r="BC31" i="1"/>
  <c r="BD31" i="1"/>
  <c r="BB3" i="1"/>
  <c r="BC3" i="1"/>
  <c r="K3" i="1" s="1"/>
  <c r="L3" i="1" s="1"/>
  <c r="BD3" i="1"/>
  <c r="BB4" i="1"/>
  <c r="BC4" i="1"/>
  <c r="K4" i="1" s="1"/>
  <c r="L4" i="1" s="1"/>
  <c r="BD4" i="1"/>
  <c r="BB5" i="1"/>
  <c r="BC5" i="1"/>
  <c r="K5" i="1" s="1"/>
  <c r="L5" i="1" s="1"/>
  <c r="BD5" i="1"/>
  <c r="BB6" i="1"/>
  <c r="BC6" i="1"/>
  <c r="K6" i="1" s="1"/>
  <c r="L6" i="1" s="1"/>
  <c r="BD6" i="1"/>
  <c r="BB7" i="1"/>
  <c r="BC7" i="1"/>
  <c r="K7" i="1" s="1"/>
  <c r="L7" i="1" s="1"/>
  <c r="BD7" i="1"/>
  <c r="BB8" i="1"/>
  <c r="BC8" i="1"/>
  <c r="K8" i="1" s="1"/>
  <c r="L8" i="1" s="1"/>
  <c r="BD8" i="1"/>
  <c r="BB9" i="1"/>
  <c r="BC9" i="1"/>
  <c r="K9" i="1" s="1"/>
  <c r="L9" i="1" s="1"/>
  <c r="BD9" i="1"/>
  <c r="BB10" i="1"/>
  <c r="BC10" i="1"/>
  <c r="BD10" i="1"/>
  <c r="BB11" i="1"/>
  <c r="BC11" i="1"/>
  <c r="K11" i="1" s="1"/>
  <c r="L11" i="1" s="1"/>
  <c r="BD11" i="1"/>
  <c r="BB12" i="1"/>
  <c r="BC12" i="1"/>
  <c r="K12" i="1" s="1"/>
  <c r="L12" i="1" s="1"/>
  <c r="BD12" i="1"/>
  <c r="BB13" i="1"/>
  <c r="BC13" i="1"/>
  <c r="K13" i="1" s="1"/>
  <c r="L13" i="1" s="1"/>
  <c r="BD13" i="1"/>
  <c r="BB14" i="1"/>
  <c r="BC14" i="1"/>
  <c r="K14" i="1" s="1"/>
  <c r="L14" i="1" s="1"/>
  <c r="BD14" i="1"/>
  <c r="BB15" i="1"/>
  <c r="BC15" i="1"/>
  <c r="K15" i="1" s="1"/>
  <c r="L15" i="1" s="1"/>
  <c r="BD15" i="1"/>
  <c r="BB16" i="1"/>
  <c r="BC16" i="1"/>
  <c r="K16" i="1" s="1"/>
  <c r="L16" i="1" s="1"/>
  <c r="BD16" i="1"/>
  <c r="J16" i="1" s="1"/>
  <c r="BB17" i="1"/>
  <c r="BC17" i="1"/>
  <c r="K17" i="1" s="1"/>
  <c r="L17" i="1" s="1"/>
  <c r="BD17" i="1"/>
  <c r="BB18" i="1"/>
  <c r="BC18" i="1"/>
  <c r="BD18" i="1"/>
  <c r="BB19" i="1"/>
  <c r="BC19" i="1"/>
  <c r="K19" i="1" s="1"/>
  <c r="L19" i="1" s="1"/>
  <c r="BD19" i="1"/>
  <c r="J19" i="1" s="1"/>
  <c r="BB20" i="1"/>
  <c r="BC20" i="1"/>
  <c r="K20" i="1" s="1"/>
  <c r="BD20" i="1"/>
  <c r="J20" i="1" s="1"/>
  <c r="BB21" i="1"/>
  <c r="BC21" i="1"/>
  <c r="K21" i="1" s="1"/>
  <c r="BD21" i="1"/>
  <c r="J21" i="1" s="1"/>
  <c r="BB22" i="1"/>
  <c r="BC22" i="1"/>
  <c r="BD22" i="1"/>
  <c r="BB23" i="1"/>
  <c r="BC23" i="1"/>
  <c r="BD23" i="1"/>
  <c r="BB24" i="1"/>
  <c r="BC24" i="1"/>
  <c r="BD24" i="1"/>
  <c r="BB25" i="1"/>
  <c r="BC25" i="1"/>
  <c r="BD25" i="1"/>
  <c r="BB26" i="1"/>
  <c r="BC26" i="1"/>
  <c r="BD26" i="1"/>
  <c r="BB27" i="1"/>
  <c r="BC27" i="1"/>
  <c r="BD27" i="1"/>
  <c r="BB28" i="1"/>
  <c r="BC28" i="1"/>
  <c r="BD28" i="1"/>
  <c r="BB2" i="1"/>
  <c r="BC2" i="1"/>
  <c r="K2" i="1" s="1"/>
  <c r="L2" i="1" s="1"/>
  <c r="BD2" i="1"/>
  <c r="J2" i="1" s="1"/>
  <c r="J18" i="1" l="1"/>
  <c r="J7" i="1"/>
  <c r="J3" i="1"/>
  <c r="J14" i="1"/>
  <c r="J13" i="1"/>
  <c r="J8" i="1"/>
  <c r="J4" i="1"/>
  <c r="J15" i="1"/>
  <c r="J10" i="1"/>
  <c r="J12" i="1"/>
  <c r="K18" i="1"/>
  <c r="L18" i="1" s="1"/>
  <c r="J9" i="1"/>
  <c r="J5" i="1"/>
  <c r="J17" i="1"/>
  <c r="J11" i="1"/>
  <c r="J6" i="1"/>
  <c r="K10" i="1"/>
  <c r="L10" i="1" s="1"/>
</calcChain>
</file>

<file path=xl/sharedStrings.xml><?xml version="1.0" encoding="utf-8"?>
<sst xmlns="http://schemas.openxmlformats.org/spreadsheetml/2006/main" count="208" uniqueCount="98">
  <si>
    <t>HONDA</t>
  </si>
  <si>
    <t>BOL</t>
  </si>
  <si>
    <t>RENAULT</t>
  </si>
  <si>
    <t>PORSCHE</t>
  </si>
  <si>
    <t>NRO</t>
  </si>
  <si>
    <t>FULL NAME</t>
  </si>
  <si>
    <t>MAKE</t>
  </si>
  <si>
    <t>TEAM</t>
  </si>
  <si>
    <t>NOMBRE</t>
  </si>
  <si>
    <t>APELLIDO</t>
  </si>
  <si>
    <t>SHORT</t>
  </si>
  <si>
    <t>CLASS</t>
  </si>
  <si>
    <t>MOR</t>
  </si>
  <si>
    <t>MIW</t>
  </si>
  <si>
    <t>SAM</t>
  </si>
  <si>
    <t>LAR</t>
  </si>
  <si>
    <t>DEL</t>
  </si>
  <si>
    <t>HER</t>
  </si>
  <si>
    <t>LED</t>
  </si>
  <si>
    <t>AND</t>
  </si>
  <si>
    <t>PRA</t>
  </si>
  <si>
    <t>PER</t>
  </si>
  <si>
    <t>ORT</t>
  </si>
  <si>
    <t>LOP</t>
  </si>
  <si>
    <t>ESP</t>
  </si>
  <si>
    <t>VIL</t>
  </si>
  <si>
    <t>MAN</t>
  </si>
  <si>
    <t>GAR</t>
  </si>
  <si>
    <t>YLA</t>
  </si>
  <si>
    <t>MAL</t>
  </si>
  <si>
    <t>MAR</t>
  </si>
  <si>
    <t>JEN</t>
  </si>
  <si>
    <t>JUN</t>
  </si>
  <si>
    <t>TRU</t>
  </si>
  <si>
    <t>RUI</t>
  </si>
  <si>
    <t>NO USE</t>
  </si>
  <si>
    <t>NAT</t>
  </si>
  <si>
    <t>#FFFFFF</t>
  </si>
  <si>
    <t>#FF0000</t>
  </si>
  <si>
    <t>#FFFF00</t>
  </si>
  <si>
    <t>#0F0FF9</t>
  </si>
  <si>
    <t>#66FF33</t>
  </si>
  <si>
    <t>#5A5A5A</t>
  </si>
  <si>
    <t>#FFFF01</t>
  </si>
  <si>
    <t>#66FF34</t>
  </si>
  <si>
    <t>#FFFF02</t>
  </si>
  <si>
    <t>#66FF35</t>
  </si>
  <si>
    <t>#FFFF03</t>
  </si>
  <si>
    <t>#66FF36</t>
  </si>
  <si>
    <t>#FFFF04</t>
  </si>
  <si>
    <t>#66FF37</t>
  </si>
  <si>
    <t>#FFFF05</t>
  </si>
  <si>
    <t>#66FF38</t>
  </si>
  <si>
    <t>LAMBORGHINI</t>
  </si>
  <si>
    <t>AUDI</t>
  </si>
  <si>
    <t>MAURICIO ROQUE</t>
  </si>
  <si>
    <t>FRANKLIN BOODRAM</t>
  </si>
  <si>
    <t>DAVID CARBALLEDA</t>
  </si>
  <si>
    <t>MITSUBISHI</t>
  </si>
  <si>
    <t>JAVIER BRANDAO</t>
  </si>
  <si>
    <t>FERNANDO SEFERLIS</t>
  </si>
  <si>
    <t>GTS</t>
  </si>
  <si>
    <t>GTS LIGHT</t>
  </si>
  <si>
    <t>GTS JR</t>
  </si>
  <si>
    <t>PAN</t>
  </si>
  <si>
    <t>CR</t>
  </si>
  <si>
    <t>GUSTAVO ORTEGA</t>
  </si>
  <si>
    <t>CARLOS HERNÁNDEZ</t>
  </si>
  <si>
    <t>SOLLY BETESH/LUIS RAMÍREZ</t>
  </si>
  <si>
    <t>ANDRÉ SOLANO/JUAN DIEGO HERNÁNDEZ</t>
  </si>
  <si>
    <t>SEBASTIÁN MERCHÁN/MARCOS VENTO</t>
  </si>
  <si>
    <t>RICARDO VERA</t>
  </si>
  <si>
    <t>DEAN PAQUETTE</t>
  </si>
  <si>
    <t>ADAN RAMOS/GABRIEL RAMOS</t>
  </si>
  <si>
    <t>MICHAEL SOLÍS</t>
  </si>
  <si>
    <t>CESAR GARCÍA</t>
  </si>
  <si>
    <t>ENRIQUE NORIEGA</t>
  </si>
  <si>
    <t>SEBASTIÁN GUERRA/ALEJANDRO HUERTA</t>
  </si>
  <si>
    <t>MC LAREN</t>
  </si>
  <si>
    <t>HYUNDAI</t>
  </si>
  <si>
    <t>ASTON MARTIN</t>
  </si>
  <si>
    <t>LEXUS</t>
  </si>
  <si>
    <t>TT</t>
  </si>
  <si>
    <t>ECU/CR</t>
  </si>
  <si>
    <t>GUA</t>
  </si>
  <si>
    <t>CR/GUA</t>
  </si>
  <si>
    <t>ECU/PR</t>
  </si>
  <si>
    <t>PR</t>
  </si>
  <si>
    <t>CAN</t>
  </si>
  <si>
    <t>CR/CR</t>
  </si>
  <si>
    <t>RD</t>
  </si>
  <si>
    <t>GTS TURBO</t>
  </si>
  <si>
    <t>V8</t>
  </si>
  <si>
    <t>ZACHARY BOODRAM</t>
  </si>
  <si>
    <t>JOHN CHOCRÓN</t>
  </si>
  <si>
    <t>JIMMY LLIBRE</t>
  </si>
  <si>
    <t>CHEVROLET</t>
  </si>
  <si>
    <t>SERGIO SOLÍS/ALEJANDRO MUÑIZ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</si>
</sst>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 tint="0.79998168889431442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9.9"/>
      <color rgb="FF00000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/>
      <right/>
      <top/>
      <bottom style="dotted">
        <color rgb="FF28B4E7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1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Z329"/>
  <sheetViews>
    <sheetView tabSelected="1" zoomScaleNormal="100" workbookViewId="0">
      <selection activeCell="C12" sqref="C12"/>
    </sheetView>
  </sheetViews>
  <sheetFormatPr baseColWidth="10" defaultColWidth="11.41015625" defaultRowHeight="14.35" x14ac:dyDescent="0.5"/>
  <cols>
    <col min="1" max="1" width="2.76171875" style="10" bestFit="1" customWidth="1"/>
    <col min="2" max="2" width="4.5859375" style="11" bestFit="1" customWidth="1"/>
    <col min="3" max="3" width="25.234375" style="5" customWidth="1"/>
    <col min="4" max="4" width="13.5859375" style="12" bestFit="1" customWidth="1"/>
    <col min="5" max="5" width="26.87890625" style="5" hidden="1" customWidth="1"/>
    <col min="6" max="6" width="8.1171875" style="5" customWidth="1"/>
    <col min="7" max="8" width="10.5859375" style="5" hidden="1" customWidth="1"/>
    <col min="9" max="9" width="10" style="5" hidden="1" customWidth="1"/>
    <col min="10" max="10" width="31.5859375" style="5" bestFit="1" customWidth="1"/>
    <col min="11" max="11" width="29.46875" style="13" bestFit="1" customWidth="1"/>
    <col min="12" max="12" width="6.29296875" style="5" bestFit="1" customWidth="1"/>
    <col min="13" max="13" width="9.87890625" style="5" bestFit="1" customWidth="1"/>
    <col min="14" max="20" width="10.5859375" style="5" hidden="1" customWidth="1"/>
    <col min="21" max="23" width="10.5859375" style="14" hidden="1" customWidth="1"/>
    <col min="24" max="28" width="10.5859375" style="5" hidden="1" customWidth="1"/>
    <col min="29" max="30" width="11.87890625" style="5" hidden="1" customWidth="1"/>
    <col min="31" max="31" width="11.5859375" style="5" bestFit="1" customWidth="1"/>
    <col min="32" max="35" width="11.41015625" style="5" customWidth="1"/>
    <col min="36" max="53" width="11.41015625" style="5"/>
    <col min="54" max="54" width="12" style="5" bestFit="1" customWidth="1"/>
    <col min="55" max="55" width="15.234375" style="5" bestFit="1" customWidth="1"/>
    <col min="56" max="56" width="3.1171875" style="5" bestFit="1" customWidth="1"/>
    <col min="57" max="16384" width="11.41015625" style="5"/>
  </cols>
  <sheetData>
    <row r="1" spans="1:78" s="1" customFormat="1" x14ac:dyDescent="0.5">
      <c r="B1" s="1" t="s">
        <v>4</v>
      </c>
      <c r="C1" s="1" t="s">
        <v>5</v>
      </c>
      <c r="D1" s="1" t="s">
        <v>6</v>
      </c>
      <c r="E1" s="1" t="s">
        <v>7</v>
      </c>
      <c r="F1" s="1" t="s">
        <v>36</v>
      </c>
      <c r="G1" s="1" t="s">
        <v>35</v>
      </c>
      <c r="H1" s="1" t="s">
        <v>35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35</v>
      </c>
      <c r="O1" s="1" t="s">
        <v>35</v>
      </c>
      <c r="P1" s="1" t="s">
        <v>35</v>
      </c>
      <c r="Q1" s="1" t="s">
        <v>35</v>
      </c>
      <c r="R1" s="1" t="s">
        <v>35</v>
      </c>
      <c r="S1" s="1" t="s">
        <v>35</v>
      </c>
      <c r="T1" s="1" t="s">
        <v>35</v>
      </c>
      <c r="U1" s="1" t="s">
        <v>35</v>
      </c>
      <c r="V1" s="1" t="s">
        <v>35</v>
      </c>
      <c r="W1" s="1" t="s">
        <v>35</v>
      </c>
      <c r="X1" s="1" t="s">
        <v>35</v>
      </c>
      <c r="Y1" s="1" t="s">
        <v>35</v>
      </c>
      <c r="Z1" s="1" t="s">
        <v>35</v>
      </c>
      <c r="AA1" s="1" t="s">
        <v>35</v>
      </c>
      <c r="AB1" s="1" t="s">
        <v>35</v>
      </c>
    </row>
    <row r="2" spans="1:78" s="6" customFormat="1" x14ac:dyDescent="0.5">
      <c r="A2" s="2">
        <v>1</v>
      </c>
      <c r="B2" s="3">
        <v>46</v>
      </c>
      <c r="C2" s="4" t="s">
        <v>93</v>
      </c>
      <c r="D2" s="2" t="s">
        <v>53</v>
      </c>
      <c r="E2" s="2"/>
      <c r="F2" s="2" t="s">
        <v>82</v>
      </c>
      <c r="G2" s="2" t="s">
        <v>37</v>
      </c>
      <c r="H2" s="2" t="s">
        <v>38</v>
      </c>
      <c r="I2" s="2" t="s">
        <v>38</v>
      </c>
      <c r="J2" s="2" t="str">
        <f>CONCATENATE(BD2,"."," ",BC2)</f>
        <v>Z. BOODRAM</v>
      </c>
      <c r="K2" s="2" t="str">
        <f>BC2</f>
        <v>BOODRAM</v>
      </c>
      <c r="L2" s="2" t="str">
        <f>LEFT(K2,3)</f>
        <v>BOO</v>
      </c>
      <c r="M2" s="2" t="s">
        <v>61</v>
      </c>
      <c r="N2" s="2">
        <v>0</v>
      </c>
      <c r="O2" s="2">
        <v>0</v>
      </c>
      <c r="P2" s="2">
        <v>0</v>
      </c>
      <c r="Q2" s="2">
        <v>0</v>
      </c>
      <c r="R2" s="2"/>
      <c r="S2" s="2"/>
      <c r="T2" s="2"/>
      <c r="U2" s="5"/>
      <c r="V2" s="5"/>
      <c r="W2" s="5"/>
      <c r="X2" s="5"/>
      <c r="Y2" s="5"/>
      <c r="Z2" s="5"/>
      <c r="AA2" s="5" t="s">
        <v>1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 t="str">
        <f t="shared" ref="BB2:BB28" si="0">MID(C2,1,SEARCH(" ",C2,1))</f>
        <v xml:space="preserve">ZACHARY </v>
      </c>
      <c r="BC2" s="5" t="str">
        <f t="shared" ref="BC2:BC28" si="1">RIGHT(C2,LEN(C2)-FIND(" ",C2))</f>
        <v>BOODRAM</v>
      </c>
      <c r="BD2" s="5" t="str">
        <f>LEFT(C2,1)</f>
        <v>Z</v>
      </c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</row>
    <row r="3" spans="1:78" s="6" customFormat="1" x14ac:dyDescent="0.5">
      <c r="A3" s="2">
        <v>2</v>
      </c>
      <c r="B3" s="3">
        <v>51</v>
      </c>
      <c r="C3" s="4" t="s">
        <v>66</v>
      </c>
      <c r="D3" s="2" t="s">
        <v>53</v>
      </c>
      <c r="E3" s="2"/>
      <c r="F3" s="2" t="s">
        <v>83</v>
      </c>
      <c r="G3" s="2" t="s">
        <v>39</v>
      </c>
      <c r="H3" s="2" t="s">
        <v>40</v>
      </c>
      <c r="I3" s="2" t="s">
        <v>40</v>
      </c>
      <c r="J3" s="2" t="str">
        <f t="shared" ref="J3:J19" si="2">CONCATENATE(BD3,"."," ",BC3)</f>
        <v>G. ORTEGA</v>
      </c>
      <c r="K3" s="2" t="str">
        <f t="shared" ref="K3:K19" si="3">BC3</f>
        <v>ORTEGA</v>
      </c>
      <c r="L3" s="2" t="str">
        <f t="shared" ref="L3:L19" si="4">LEFT(K3,3)</f>
        <v>ORT</v>
      </c>
      <c r="M3" s="2" t="s">
        <v>61</v>
      </c>
      <c r="N3" s="2">
        <v>0</v>
      </c>
      <c r="O3" s="2">
        <v>0</v>
      </c>
      <c r="P3" s="2">
        <v>0</v>
      </c>
      <c r="Q3" s="2">
        <v>0</v>
      </c>
      <c r="R3" s="2"/>
      <c r="S3" s="2"/>
      <c r="T3" s="2"/>
      <c r="U3" s="5"/>
      <c r="V3" s="5"/>
      <c r="W3" s="5"/>
      <c r="X3" s="5"/>
      <c r="Y3" s="5"/>
      <c r="Z3" s="5"/>
      <c r="AA3" s="5" t="s">
        <v>12</v>
      </c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 t="str">
        <f t="shared" si="0"/>
        <v xml:space="preserve">GUSTAVO </v>
      </c>
      <c r="BC3" s="5" t="str">
        <f t="shared" si="1"/>
        <v>ORTEGA</v>
      </c>
      <c r="BD3" s="5" t="str">
        <f t="shared" ref="BD3:BD28" si="5">LEFT(C3,1)</f>
        <v>G</v>
      </c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</row>
    <row r="4" spans="1:78" s="6" customFormat="1" x14ac:dyDescent="0.5">
      <c r="A4" s="2">
        <v>3</v>
      </c>
      <c r="B4" s="3">
        <v>59</v>
      </c>
      <c r="C4" s="4" t="s">
        <v>67</v>
      </c>
      <c r="D4" s="2" t="s">
        <v>53</v>
      </c>
      <c r="E4" s="2"/>
      <c r="F4" s="2" t="s">
        <v>84</v>
      </c>
      <c r="G4" s="2" t="s">
        <v>41</v>
      </c>
      <c r="H4" s="2" t="s">
        <v>42</v>
      </c>
      <c r="I4" s="2" t="s">
        <v>42</v>
      </c>
      <c r="J4" s="2" t="str">
        <f t="shared" si="2"/>
        <v>C. HERNÁNDEZ</v>
      </c>
      <c r="K4" s="2" t="str">
        <f t="shared" si="3"/>
        <v>HERNÁNDEZ</v>
      </c>
      <c r="L4" s="2" t="str">
        <f t="shared" si="4"/>
        <v>HER</v>
      </c>
      <c r="M4" s="2" t="s">
        <v>61</v>
      </c>
      <c r="N4" s="2">
        <v>0</v>
      </c>
      <c r="O4" s="2">
        <v>0</v>
      </c>
      <c r="P4" s="2">
        <v>0</v>
      </c>
      <c r="Q4" s="2">
        <v>0</v>
      </c>
      <c r="R4" s="2"/>
      <c r="S4" s="2"/>
      <c r="T4" s="2"/>
      <c r="U4" s="5"/>
      <c r="V4" s="5"/>
      <c r="W4" s="5"/>
      <c r="X4" s="5"/>
      <c r="Y4" s="5"/>
      <c r="Z4" s="5"/>
      <c r="AA4" s="5" t="s">
        <v>13</v>
      </c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 t="str">
        <f t="shared" si="0"/>
        <v xml:space="preserve">CARLOS </v>
      </c>
      <c r="BC4" s="5" t="str">
        <f t="shared" si="1"/>
        <v>HERNÁNDEZ</v>
      </c>
      <c r="BD4" s="5" t="str">
        <f t="shared" si="5"/>
        <v>C</v>
      </c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</row>
    <row r="5" spans="1:78" x14ac:dyDescent="0.5">
      <c r="A5" s="2">
        <v>4</v>
      </c>
      <c r="B5" s="3">
        <v>44</v>
      </c>
      <c r="C5" s="4" t="s">
        <v>68</v>
      </c>
      <c r="D5" s="2" t="s">
        <v>54</v>
      </c>
      <c r="E5" s="2"/>
      <c r="F5" s="2" t="s">
        <v>64</v>
      </c>
      <c r="G5" s="2" t="s">
        <v>37</v>
      </c>
      <c r="H5" s="2" t="s">
        <v>38</v>
      </c>
      <c r="I5" s="2" t="s">
        <v>38</v>
      </c>
      <c r="J5" s="2" t="str">
        <f t="shared" si="2"/>
        <v>S. BETESH/LUIS RAMÍREZ</v>
      </c>
      <c r="K5" s="2" t="str">
        <f t="shared" si="3"/>
        <v>BETESH/LUIS RAMÍREZ</v>
      </c>
      <c r="L5" s="2" t="str">
        <f t="shared" si="4"/>
        <v>BET</v>
      </c>
      <c r="M5" s="2" t="s">
        <v>61</v>
      </c>
      <c r="N5" s="2">
        <v>0</v>
      </c>
      <c r="O5" s="2">
        <v>0</v>
      </c>
      <c r="P5" s="2">
        <v>0</v>
      </c>
      <c r="Q5" s="2">
        <v>0</v>
      </c>
      <c r="R5" s="2"/>
      <c r="S5" s="2"/>
      <c r="T5" s="2"/>
      <c r="U5" s="5"/>
      <c r="V5" s="5"/>
      <c r="W5" s="5"/>
      <c r="AA5" s="5" t="s">
        <v>14</v>
      </c>
      <c r="BB5" s="5" t="str">
        <f t="shared" si="0"/>
        <v xml:space="preserve">SOLLY </v>
      </c>
      <c r="BC5" s="5" t="str">
        <f t="shared" si="1"/>
        <v>BETESH/LUIS RAMÍREZ</v>
      </c>
      <c r="BD5" s="5" t="str">
        <f t="shared" si="5"/>
        <v>S</v>
      </c>
    </row>
    <row r="6" spans="1:78" ht="28.7" x14ac:dyDescent="0.5">
      <c r="A6" s="2">
        <v>5</v>
      </c>
      <c r="B6" s="3">
        <v>3</v>
      </c>
      <c r="C6" s="4" t="s">
        <v>69</v>
      </c>
      <c r="D6" s="2" t="s">
        <v>78</v>
      </c>
      <c r="E6" s="2"/>
      <c r="F6" s="2" t="s">
        <v>85</v>
      </c>
      <c r="G6" s="2" t="s">
        <v>43</v>
      </c>
      <c r="H6" s="2" t="s">
        <v>40</v>
      </c>
      <c r="I6" s="2" t="s">
        <v>40</v>
      </c>
      <c r="J6" s="2" t="str">
        <f t="shared" si="2"/>
        <v>A. SOLANO/JUAN DIEGO HERNÁNDEZ</v>
      </c>
      <c r="K6" s="2" t="str">
        <f t="shared" si="3"/>
        <v>SOLANO/JUAN DIEGO HERNÁNDEZ</v>
      </c>
      <c r="L6" s="2" t="str">
        <f t="shared" si="4"/>
        <v>SOL</v>
      </c>
      <c r="M6" s="2" t="s">
        <v>91</v>
      </c>
      <c r="N6" s="2">
        <v>0</v>
      </c>
      <c r="O6" s="2">
        <v>0</v>
      </c>
      <c r="P6" s="2">
        <v>0</v>
      </c>
      <c r="Q6" s="2">
        <v>0</v>
      </c>
      <c r="R6" s="2"/>
      <c r="S6" s="2"/>
      <c r="T6" s="2"/>
      <c r="U6" s="5"/>
      <c r="V6" s="5"/>
      <c r="W6" s="5"/>
      <c r="AA6" s="5" t="s">
        <v>15</v>
      </c>
      <c r="BB6" s="5" t="str">
        <f t="shared" si="0"/>
        <v xml:space="preserve">ANDRÉ </v>
      </c>
      <c r="BC6" s="5" t="str">
        <f t="shared" si="1"/>
        <v>SOLANO/JUAN DIEGO HERNÁNDEZ</v>
      </c>
      <c r="BD6" s="5" t="str">
        <f t="shared" si="5"/>
        <v>A</v>
      </c>
    </row>
    <row r="7" spans="1:78" x14ac:dyDescent="0.5">
      <c r="A7" s="2">
        <v>6</v>
      </c>
      <c r="B7" s="3">
        <v>1</v>
      </c>
      <c r="C7" s="4" t="s">
        <v>56</v>
      </c>
      <c r="D7" s="2" t="s">
        <v>2</v>
      </c>
      <c r="E7" s="2"/>
      <c r="F7" s="2" t="s">
        <v>82</v>
      </c>
      <c r="G7" s="2" t="s">
        <v>44</v>
      </c>
      <c r="H7" s="2" t="s">
        <v>42</v>
      </c>
      <c r="I7" s="2" t="s">
        <v>42</v>
      </c>
      <c r="J7" s="2" t="str">
        <f t="shared" si="2"/>
        <v>F. BOODRAM</v>
      </c>
      <c r="K7" s="2" t="str">
        <f t="shared" si="3"/>
        <v>BOODRAM</v>
      </c>
      <c r="L7" s="2" t="str">
        <f t="shared" si="4"/>
        <v>BOO</v>
      </c>
      <c r="M7" s="2" t="s">
        <v>91</v>
      </c>
      <c r="N7" s="2">
        <v>0</v>
      </c>
      <c r="O7" s="2">
        <v>0</v>
      </c>
      <c r="P7" s="2">
        <v>0</v>
      </c>
      <c r="Q7" s="2">
        <v>0</v>
      </c>
      <c r="R7" s="2"/>
      <c r="S7" s="2"/>
      <c r="T7" s="2"/>
      <c r="U7" s="5"/>
      <c r="V7" s="5"/>
      <c r="W7" s="5"/>
      <c r="AA7" s="5" t="s">
        <v>16</v>
      </c>
      <c r="BB7" s="5" t="str">
        <f t="shared" si="0"/>
        <v xml:space="preserve">FRANKLIN </v>
      </c>
      <c r="BC7" s="5" t="str">
        <f t="shared" si="1"/>
        <v>BOODRAM</v>
      </c>
      <c r="BD7" s="5" t="str">
        <f t="shared" si="5"/>
        <v>F</v>
      </c>
    </row>
    <row r="8" spans="1:78" s="6" customFormat="1" ht="28.7" x14ac:dyDescent="0.5">
      <c r="A8" s="2">
        <v>7</v>
      </c>
      <c r="B8" s="7">
        <v>49</v>
      </c>
      <c r="C8" s="4" t="s">
        <v>70</v>
      </c>
      <c r="D8" s="2" t="s">
        <v>53</v>
      </c>
      <c r="E8" s="2"/>
      <c r="F8" s="2" t="s">
        <v>86</v>
      </c>
      <c r="G8" s="2" t="s">
        <v>37</v>
      </c>
      <c r="H8" s="2" t="s">
        <v>38</v>
      </c>
      <c r="I8" s="2" t="s">
        <v>38</v>
      </c>
      <c r="J8" s="2" t="str">
        <f t="shared" si="2"/>
        <v>S. MERCHÁN/MARCOS VENTO</v>
      </c>
      <c r="K8" s="2" t="str">
        <f t="shared" si="3"/>
        <v>MERCHÁN/MARCOS VENTO</v>
      </c>
      <c r="L8" s="2" t="str">
        <f t="shared" si="4"/>
        <v>MER</v>
      </c>
      <c r="M8" s="2" t="s">
        <v>62</v>
      </c>
      <c r="N8" s="2">
        <v>0</v>
      </c>
      <c r="O8" s="2">
        <v>0</v>
      </c>
      <c r="P8" s="2">
        <v>0</v>
      </c>
      <c r="Q8" s="2">
        <v>0</v>
      </c>
      <c r="R8" s="2"/>
      <c r="S8" s="2"/>
      <c r="T8" s="2"/>
      <c r="U8" s="5"/>
      <c r="V8" s="5"/>
      <c r="W8" s="5"/>
      <c r="X8" s="5"/>
      <c r="Y8" s="5"/>
      <c r="Z8" s="5"/>
      <c r="AA8" s="5" t="s">
        <v>17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 t="str">
        <f t="shared" si="0"/>
        <v xml:space="preserve">SEBASTIÁN </v>
      </c>
      <c r="BC8" s="5" t="str">
        <f t="shared" si="1"/>
        <v>MERCHÁN/MARCOS VENTO</v>
      </c>
      <c r="BD8" s="5" t="str">
        <f t="shared" si="5"/>
        <v>S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</row>
    <row r="9" spans="1:78" s="6" customFormat="1" x14ac:dyDescent="0.5">
      <c r="A9" s="2">
        <v>8</v>
      </c>
      <c r="B9" s="3">
        <v>7</v>
      </c>
      <c r="C9" s="4" t="s">
        <v>71</v>
      </c>
      <c r="D9" s="2" t="s">
        <v>53</v>
      </c>
      <c r="E9" s="2"/>
      <c r="F9" s="2" t="s">
        <v>87</v>
      </c>
      <c r="G9" s="2" t="s">
        <v>45</v>
      </c>
      <c r="H9" s="2" t="s">
        <v>40</v>
      </c>
      <c r="I9" s="2" t="s">
        <v>40</v>
      </c>
      <c r="J9" s="2" t="str">
        <f t="shared" si="2"/>
        <v>R. VERA</v>
      </c>
      <c r="K9" s="2" t="str">
        <f t="shared" si="3"/>
        <v>VERA</v>
      </c>
      <c r="L9" s="2" t="str">
        <f t="shared" si="4"/>
        <v>VER</v>
      </c>
      <c r="M9" s="2" t="s">
        <v>62</v>
      </c>
      <c r="N9" s="2">
        <v>0</v>
      </c>
      <c r="O9" s="2">
        <v>0</v>
      </c>
      <c r="P9" s="2">
        <v>0</v>
      </c>
      <c r="Q9" s="2">
        <v>0</v>
      </c>
      <c r="R9" s="2"/>
      <c r="S9" s="2"/>
      <c r="T9" s="2"/>
      <c r="U9" s="5"/>
      <c r="V9" s="5"/>
      <c r="W9" s="5"/>
      <c r="X9" s="5"/>
      <c r="Y9" s="5"/>
      <c r="Z9" s="5"/>
      <c r="AA9" s="5" t="s">
        <v>18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 t="str">
        <f t="shared" si="0"/>
        <v xml:space="preserve">RICARDO </v>
      </c>
      <c r="BC9" s="5" t="str">
        <f t="shared" si="1"/>
        <v>VERA</v>
      </c>
      <c r="BD9" s="5" t="str">
        <f t="shared" si="5"/>
        <v>R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</row>
    <row r="10" spans="1:78" s="6" customFormat="1" x14ac:dyDescent="0.5">
      <c r="A10" s="2">
        <v>9</v>
      </c>
      <c r="B10" s="3">
        <v>13</v>
      </c>
      <c r="C10" s="4" t="s">
        <v>72</v>
      </c>
      <c r="D10" s="2" t="s">
        <v>3</v>
      </c>
      <c r="E10" s="2"/>
      <c r="F10" s="2" t="s">
        <v>88</v>
      </c>
      <c r="G10" s="2" t="s">
        <v>46</v>
      </c>
      <c r="H10" s="2" t="s">
        <v>42</v>
      </c>
      <c r="I10" s="2" t="s">
        <v>42</v>
      </c>
      <c r="J10" s="2" t="str">
        <f t="shared" si="2"/>
        <v>D. PAQUETTE</v>
      </c>
      <c r="K10" s="2" t="str">
        <f t="shared" si="3"/>
        <v>PAQUETTE</v>
      </c>
      <c r="L10" s="2" t="str">
        <f t="shared" si="4"/>
        <v>PAQ</v>
      </c>
      <c r="M10" s="2" t="s">
        <v>62</v>
      </c>
      <c r="N10" s="2">
        <v>0</v>
      </c>
      <c r="O10" s="2">
        <v>0</v>
      </c>
      <c r="P10" s="2">
        <v>0</v>
      </c>
      <c r="Q10" s="2">
        <v>0</v>
      </c>
      <c r="R10" s="2"/>
      <c r="S10" s="2"/>
      <c r="T10" s="2"/>
      <c r="U10" s="5"/>
      <c r="V10" s="5"/>
      <c r="W10" s="5"/>
      <c r="X10" s="5"/>
      <c r="Y10" s="5"/>
      <c r="Z10" s="5"/>
      <c r="AA10" s="5" t="s">
        <v>19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 t="str">
        <f t="shared" si="0"/>
        <v xml:space="preserve">DEAN </v>
      </c>
      <c r="BC10" s="5" t="str">
        <f t="shared" si="1"/>
        <v>PAQUETTE</v>
      </c>
      <c r="BD10" s="5" t="str">
        <f t="shared" si="5"/>
        <v>D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</row>
    <row r="11" spans="1:78" s="8" customFormat="1" ht="28.7" x14ac:dyDescent="0.5">
      <c r="A11" s="2">
        <v>10</v>
      </c>
      <c r="B11" s="3">
        <v>91</v>
      </c>
      <c r="C11" s="4" t="s">
        <v>97</v>
      </c>
      <c r="D11" s="2" t="s">
        <v>3</v>
      </c>
      <c r="E11" s="2"/>
      <c r="F11" s="2" t="s">
        <v>89</v>
      </c>
      <c r="G11" s="2" t="s">
        <v>37</v>
      </c>
      <c r="H11" s="2" t="s">
        <v>38</v>
      </c>
      <c r="I11" s="2" t="s">
        <v>38</v>
      </c>
      <c r="J11" s="2" t="str">
        <f t="shared" si="2"/>
        <v>S. SOLÍS/ALEJANDRO MUÑIZ</v>
      </c>
      <c r="K11" s="2" t="str">
        <f t="shared" si="3"/>
        <v>SOLÍS/ALEJANDRO MUÑIZ</v>
      </c>
      <c r="L11" s="2" t="str">
        <f t="shared" si="4"/>
        <v>SOL</v>
      </c>
      <c r="M11" s="2" t="s">
        <v>62</v>
      </c>
      <c r="N11" s="2">
        <v>0</v>
      </c>
      <c r="O11" s="2">
        <v>0</v>
      </c>
      <c r="P11" s="2">
        <v>0</v>
      </c>
      <c r="Q11" s="2">
        <v>0</v>
      </c>
      <c r="R11" s="2"/>
      <c r="S11" s="2"/>
      <c r="T11" s="2"/>
      <c r="U11" s="5"/>
      <c r="V11" s="5"/>
      <c r="W11" s="5"/>
      <c r="X11" s="5"/>
      <c r="Y11" s="5"/>
      <c r="Z11" s="5"/>
      <c r="AA11" s="5" t="s">
        <v>20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 t="str">
        <f t="shared" si="0"/>
        <v xml:space="preserve">SERGIO </v>
      </c>
      <c r="BC11" s="5" t="str">
        <f t="shared" si="1"/>
        <v>SOLÍS/ALEJANDRO MUÑIZ</v>
      </c>
      <c r="BD11" s="5" t="str">
        <f t="shared" si="5"/>
        <v>S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</row>
    <row r="12" spans="1:78" s="8" customFormat="1" x14ac:dyDescent="0.5">
      <c r="A12" s="2">
        <v>11</v>
      </c>
      <c r="B12" s="3">
        <v>96</v>
      </c>
      <c r="C12" s="4" t="s">
        <v>55</v>
      </c>
      <c r="D12" s="2" t="s">
        <v>3</v>
      </c>
      <c r="E12" s="2"/>
      <c r="F12" s="2" t="s">
        <v>84</v>
      </c>
      <c r="G12" s="2" t="s">
        <v>47</v>
      </c>
      <c r="H12" s="2" t="s">
        <v>40</v>
      </c>
      <c r="I12" s="2" t="s">
        <v>40</v>
      </c>
      <c r="J12" s="2" t="str">
        <f t="shared" si="2"/>
        <v>M. ROQUE</v>
      </c>
      <c r="K12" s="2" t="str">
        <f t="shared" si="3"/>
        <v>ROQUE</v>
      </c>
      <c r="L12" s="2" t="str">
        <f t="shared" si="4"/>
        <v>ROQ</v>
      </c>
      <c r="M12" s="2" t="s">
        <v>62</v>
      </c>
      <c r="N12" s="2">
        <v>0</v>
      </c>
      <c r="O12" s="2">
        <v>0</v>
      </c>
      <c r="P12" s="2">
        <v>0</v>
      </c>
      <c r="Q12" s="2">
        <v>0</v>
      </c>
      <c r="R12" s="2"/>
      <c r="S12" s="2"/>
      <c r="T12" s="2"/>
      <c r="U12" s="5"/>
      <c r="V12" s="5"/>
      <c r="W12" s="5"/>
      <c r="X12" s="5"/>
      <c r="Y12" s="5"/>
      <c r="Z12" s="5"/>
      <c r="AA12" s="5" t="s">
        <v>21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 t="str">
        <f t="shared" si="0"/>
        <v xml:space="preserve">MAURICIO </v>
      </c>
      <c r="BC12" s="5" t="str">
        <f t="shared" si="1"/>
        <v>ROQUE</v>
      </c>
      <c r="BD12" s="5" t="str">
        <f t="shared" si="5"/>
        <v>M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</row>
    <row r="13" spans="1:78" s="8" customFormat="1" ht="28.7" x14ac:dyDescent="0.5">
      <c r="A13" s="2">
        <v>12</v>
      </c>
      <c r="B13" s="3">
        <v>69</v>
      </c>
      <c r="C13" s="4" t="s">
        <v>73</v>
      </c>
      <c r="D13" s="2" t="s">
        <v>3</v>
      </c>
      <c r="E13" s="2"/>
      <c r="F13" s="2" t="s">
        <v>84</v>
      </c>
      <c r="G13" s="2" t="s">
        <v>48</v>
      </c>
      <c r="H13" s="2" t="s">
        <v>42</v>
      </c>
      <c r="I13" s="2" t="s">
        <v>42</v>
      </c>
      <c r="J13" s="2" t="str">
        <f t="shared" si="2"/>
        <v>A. RAMOS/GABRIEL RAMOS</v>
      </c>
      <c r="K13" s="2" t="str">
        <f t="shared" si="3"/>
        <v>RAMOS/GABRIEL RAMOS</v>
      </c>
      <c r="L13" s="2" t="str">
        <f t="shared" si="4"/>
        <v>RAM</v>
      </c>
      <c r="M13" s="2" t="s">
        <v>62</v>
      </c>
      <c r="N13" s="2">
        <v>0</v>
      </c>
      <c r="O13" s="2">
        <v>0</v>
      </c>
      <c r="P13" s="2">
        <v>0</v>
      </c>
      <c r="Q13" s="2">
        <v>0</v>
      </c>
      <c r="R13" s="2"/>
      <c r="S13" s="2"/>
      <c r="T13" s="2"/>
      <c r="U13" s="5"/>
      <c r="V13" s="5"/>
      <c r="W13" s="5"/>
      <c r="X13" s="5"/>
      <c r="Y13" s="5"/>
      <c r="Z13" s="5"/>
      <c r="AA13" s="5" t="s">
        <v>22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 t="str">
        <f t="shared" si="0"/>
        <v xml:space="preserve">ADAN </v>
      </c>
      <c r="BC13" s="5" t="str">
        <f t="shared" si="1"/>
        <v>RAMOS/GABRIEL RAMOS</v>
      </c>
      <c r="BD13" s="5" t="str">
        <f t="shared" si="5"/>
        <v>A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</row>
    <row r="14" spans="1:78" s="6" customFormat="1" x14ac:dyDescent="0.5">
      <c r="A14" s="2">
        <v>13</v>
      </c>
      <c r="B14" s="3">
        <v>16</v>
      </c>
      <c r="C14" s="4" t="s">
        <v>74</v>
      </c>
      <c r="D14" s="2" t="s">
        <v>79</v>
      </c>
      <c r="E14" s="2"/>
      <c r="F14" s="2" t="s">
        <v>65</v>
      </c>
      <c r="G14" s="2" t="s">
        <v>37</v>
      </c>
      <c r="H14" s="2" t="s">
        <v>38</v>
      </c>
      <c r="I14" s="2" t="s">
        <v>38</v>
      </c>
      <c r="J14" s="2" t="str">
        <f t="shared" si="2"/>
        <v>M. SOLÍS</v>
      </c>
      <c r="K14" s="2" t="str">
        <f t="shared" si="3"/>
        <v>SOLÍS</v>
      </c>
      <c r="L14" s="2" t="str">
        <f t="shared" si="4"/>
        <v>SOL</v>
      </c>
      <c r="M14" s="2" t="s">
        <v>63</v>
      </c>
      <c r="N14" s="2">
        <v>0</v>
      </c>
      <c r="O14" s="2">
        <v>0</v>
      </c>
      <c r="P14" s="2">
        <v>0</v>
      </c>
      <c r="Q14" s="2">
        <v>0</v>
      </c>
      <c r="R14" s="2"/>
      <c r="S14" s="2"/>
      <c r="T14" s="2"/>
      <c r="U14" s="5"/>
      <c r="V14" s="5"/>
      <c r="W14" s="5"/>
      <c r="X14" s="5"/>
      <c r="Y14" s="5"/>
      <c r="Z14" s="5"/>
      <c r="AA14" s="5" t="s">
        <v>23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 t="str">
        <f t="shared" si="0"/>
        <v xml:space="preserve">MICHAEL </v>
      </c>
      <c r="BC14" s="5" t="str">
        <f t="shared" si="1"/>
        <v>SOLÍS</v>
      </c>
      <c r="BD14" s="5" t="str">
        <f t="shared" si="5"/>
        <v>M</v>
      </c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</row>
    <row r="15" spans="1:78" s="6" customFormat="1" x14ac:dyDescent="0.5">
      <c r="A15" s="2">
        <v>14</v>
      </c>
      <c r="B15" s="3">
        <v>570</v>
      </c>
      <c r="C15" s="4" t="s">
        <v>57</v>
      </c>
      <c r="D15" s="2" t="s">
        <v>58</v>
      </c>
      <c r="E15" s="2"/>
      <c r="F15" s="2" t="s">
        <v>64</v>
      </c>
      <c r="G15" s="2" t="s">
        <v>49</v>
      </c>
      <c r="H15" s="2" t="s">
        <v>40</v>
      </c>
      <c r="I15" s="2" t="s">
        <v>40</v>
      </c>
      <c r="J15" s="2" t="str">
        <f t="shared" si="2"/>
        <v>D. CARBALLEDA</v>
      </c>
      <c r="K15" s="2" t="str">
        <f t="shared" si="3"/>
        <v>CARBALLEDA</v>
      </c>
      <c r="L15" s="2" t="str">
        <f t="shared" si="4"/>
        <v>CAR</v>
      </c>
      <c r="M15" s="2" t="s">
        <v>63</v>
      </c>
      <c r="N15" s="2">
        <v>0</v>
      </c>
      <c r="O15" s="2">
        <v>0</v>
      </c>
      <c r="P15" s="2">
        <v>0</v>
      </c>
      <c r="Q15" s="2">
        <v>0</v>
      </c>
      <c r="R15" s="2"/>
      <c r="S15" s="2"/>
      <c r="T15" s="2"/>
      <c r="U15" s="5"/>
      <c r="V15" s="5"/>
      <c r="W15" s="5"/>
      <c r="X15" s="5"/>
      <c r="Y15" s="5"/>
      <c r="Z15" s="5"/>
      <c r="AA15" s="5" t="s">
        <v>24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 t="str">
        <f t="shared" si="0"/>
        <v xml:space="preserve">DAVID </v>
      </c>
      <c r="BC15" s="5" t="str">
        <f t="shared" si="1"/>
        <v>CARBALLEDA</v>
      </c>
      <c r="BD15" s="5" t="str">
        <f t="shared" si="5"/>
        <v>D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</row>
    <row r="16" spans="1:78" s="6" customFormat="1" x14ac:dyDescent="0.5">
      <c r="A16" s="2">
        <v>15</v>
      </c>
      <c r="B16" s="3">
        <v>73</v>
      </c>
      <c r="C16" s="4" t="s">
        <v>75</v>
      </c>
      <c r="D16" s="2" t="s">
        <v>0</v>
      </c>
      <c r="E16" s="2"/>
      <c r="F16" s="2" t="s">
        <v>64</v>
      </c>
      <c r="G16" s="2" t="s">
        <v>50</v>
      </c>
      <c r="H16" s="2" t="s">
        <v>42</v>
      </c>
      <c r="I16" s="2" t="s">
        <v>42</v>
      </c>
      <c r="J16" s="2" t="str">
        <f t="shared" si="2"/>
        <v>C. GARCÍA</v>
      </c>
      <c r="K16" s="2" t="str">
        <f t="shared" si="3"/>
        <v>GARCÍA</v>
      </c>
      <c r="L16" s="2" t="str">
        <f t="shared" si="4"/>
        <v>GAR</v>
      </c>
      <c r="M16" s="2" t="s">
        <v>63</v>
      </c>
      <c r="N16" s="2">
        <v>0</v>
      </c>
      <c r="O16" s="2">
        <v>0</v>
      </c>
      <c r="P16" s="2">
        <v>0</v>
      </c>
      <c r="Q16" s="2">
        <v>0</v>
      </c>
      <c r="R16" s="2"/>
      <c r="S16" s="2"/>
      <c r="T16" s="2"/>
      <c r="U16" s="5"/>
      <c r="V16" s="5"/>
      <c r="W16" s="5"/>
      <c r="X16" s="5"/>
      <c r="Y16" s="5"/>
      <c r="Z16" s="5"/>
      <c r="AA16" s="5" t="s">
        <v>17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 t="str">
        <f t="shared" si="0"/>
        <v xml:space="preserve">CESAR </v>
      </c>
      <c r="BC16" s="5" t="str">
        <f t="shared" si="1"/>
        <v>GARCÍA</v>
      </c>
      <c r="BD16" s="5" t="str">
        <f t="shared" si="5"/>
        <v>C</v>
      </c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</row>
    <row r="17" spans="1:78" x14ac:dyDescent="0.5">
      <c r="A17" s="2">
        <v>16</v>
      </c>
      <c r="B17" s="3">
        <v>95</v>
      </c>
      <c r="C17" s="4" t="s">
        <v>76</v>
      </c>
      <c r="D17" s="2" t="s">
        <v>96</v>
      </c>
      <c r="E17" s="2"/>
      <c r="F17" s="2" t="s">
        <v>64</v>
      </c>
      <c r="G17" s="2" t="s">
        <v>37</v>
      </c>
      <c r="H17" s="2" t="s">
        <v>38</v>
      </c>
      <c r="I17" s="2" t="s">
        <v>38</v>
      </c>
      <c r="J17" s="2" t="str">
        <f t="shared" si="2"/>
        <v>E. NORIEGA</v>
      </c>
      <c r="K17" s="2" t="str">
        <f t="shared" si="3"/>
        <v>NORIEGA</v>
      </c>
      <c r="L17" s="2" t="str">
        <f t="shared" si="4"/>
        <v>NOR</v>
      </c>
      <c r="M17" s="2" t="s">
        <v>63</v>
      </c>
      <c r="N17" s="2">
        <v>0</v>
      </c>
      <c r="O17" s="2">
        <v>0</v>
      </c>
      <c r="P17" s="2">
        <v>0</v>
      </c>
      <c r="Q17" s="2">
        <v>0</v>
      </c>
      <c r="R17" s="2"/>
      <c r="S17" s="2"/>
      <c r="T17" s="2"/>
      <c r="U17" s="5"/>
      <c r="V17" s="5"/>
      <c r="W17" s="5"/>
      <c r="AA17" s="5" t="s">
        <v>25</v>
      </c>
      <c r="BB17" s="5" t="str">
        <f t="shared" si="0"/>
        <v xml:space="preserve">ENRIQUE </v>
      </c>
      <c r="BC17" s="5" t="str">
        <f t="shared" si="1"/>
        <v>NORIEGA</v>
      </c>
      <c r="BD17" s="5" t="str">
        <f t="shared" si="5"/>
        <v>E</v>
      </c>
    </row>
    <row r="18" spans="1:78" x14ac:dyDescent="0.5">
      <c r="A18" s="2">
        <v>17</v>
      </c>
      <c r="B18" s="3">
        <v>29</v>
      </c>
      <c r="C18" s="4" t="s">
        <v>60</v>
      </c>
      <c r="D18" s="2" t="s">
        <v>80</v>
      </c>
      <c r="E18" s="2"/>
      <c r="F18" s="2" t="s">
        <v>64</v>
      </c>
      <c r="G18" s="2" t="s">
        <v>51</v>
      </c>
      <c r="H18" s="2" t="s">
        <v>40</v>
      </c>
      <c r="I18" s="2" t="s">
        <v>40</v>
      </c>
      <c r="J18" s="2" t="str">
        <f t="shared" si="2"/>
        <v>F. SEFERLIS</v>
      </c>
      <c r="K18" s="2" t="str">
        <f t="shared" si="3"/>
        <v>SEFERLIS</v>
      </c>
      <c r="L18" s="2" t="str">
        <f t="shared" si="4"/>
        <v>SEF</v>
      </c>
      <c r="M18" s="2" t="s">
        <v>63</v>
      </c>
      <c r="N18" s="2">
        <v>0</v>
      </c>
      <c r="O18" s="2">
        <v>0</v>
      </c>
      <c r="P18" s="2">
        <v>0</v>
      </c>
      <c r="Q18" s="2">
        <v>0</v>
      </c>
      <c r="R18" s="2"/>
      <c r="S18" s="2"/>
      <c r="T18" s="2"/>
      <c r="U18" s="5"/>
      <c r="V18" s="5"/>
      <c r="W18" s="5"/>
      <c r="AA18" s="5" t="s">
        <v>26</v>
      </c>
      <c r="BB18" s="5" t="str">
        <f t="shared" si="0"/>
        <v xml:space="preserve">FERNANDO </v>
      </c>
      <c r="BC18" s="5" t="str">
        <f t="shared" si="1"/>
        <v>SEFERLIS</v>
      </c>
      <c r="BD18" s="5" t="str">
        <f t="shared" si="5"/>
        <v>F</v>
      </c>
    </row>
    <row r="19" spans="1:78" ht="28.7" x14ac:dyDescent="0.5">
      <c r="A19" s="2">
        <v>18</v>
      </c>
      <c r="B19" s="3">
        <v>24</v>
      </c>
      <c r="C19" s="4" t="s">
        <v>77</v>
      </c>
      <c r="D19" s="2" t="s">
        <v>79</v>
      </c>
      <c r="E19" s="2"/>
      <c r="F19" s="2" t="s">
        <v>64</v>
      </c>
      <c r="G19" s="2" t="s">
        <v>52</v>
      </c>
      <c r="H19" s="2" t="s">
        <v>42</v>
      </c>
      <c r="I19" s="2" t="s">
        <v>42</v>
      </c>
      <c r="J19" s="2" t="str">
        <f t="shared" si="2"/>
        <v>S. GUERRA/ALEJANDRO HUERTA</v>
      </c>
      <c r="K19" s="2" t="str">
        <f t="shared" si="3"/>
        <v>GUERRA/ALEJANDRO HUERTA</v>
      </c>
      <c r="L19" s="2" t="str">
        <f t="shared" si="4"/>
        <v>GUE</v>
      </c>
      <c r="M19" s="2" t="s">
        <v>63</v>
      </c>
      <c r="N19" s="2">
        <v>0</v>
      </c>
      <c r="O19" s="2">
        <v>0</v>
      </c>
      <c r="P19" s="2">
        <v>0</v>
      </c>
      <c r="Q19" s="2">
        <v>0</v>
      </c>
      <c r="R19" s="2"/>
      <c r="S19" s="2"/>
      <c r="T19" s="2"/>
      <c r="U19" s="5"/>
      <c r="V19" s="5"/>
      <c r="W19" s="5"/>
      <c r="AA19" s="5" t="s">
        <v>12</v>
      </c>
      <c r="BB19" s="5" t="str">
        <f t="shared" si="0"/>
        <v xml:space="preserve">SEBASTIÁN </v>
      </c>
      <c r="BC19" s="5" t="str">
        <f t="shared" si="1"/>
        <v>GUERRA/ALEJANDRO HUERTA</v>
      </c>
      <c r="BD19" s="5" t="str">
        <f t="shared" si="5"/>
        <v>S</v>
      </c>
    </row>
    <row r="20" spans="1:78" s="9" customFormat="1" x14ac:dyDescent="0.5">
      <c r="A20" s="2">
        <v>19</v>
      </c>
      <c r="B20" s="3">
        <v>43</v>
      </c>
      <c r="C20" s="4" t="s">
        <v>95</v>
      </c>
      <c r="D20" s="2" t="s">
        <v>81</v>
      </c>
      <c r="E20" s="2"/>
      <c r="F20" s="2" t="s">
        <v>90</v>
      </c>
      <c r="G20" s="2" t="s">
        <v>37</v>
      </c>
      <c r="H20" s="2" t="s">
        <v>38</v>
      </c>
      <c r="I20" s="2" t="s">
        <v>38</v>
      </c>
      <c r="J20" s="2" t="str">
        <f t="shared" ref="J20:J22" si="6">CONCATENATE(BD20,"."," ",BC20)</f>
        <v>J. LLIBRE</v>
      </c>
      <c r="K20" s="2" t="str">
        <f t="shared" ref="K20:K22" si="7">BC20</f>
        <v>LLIBRE</v>
      </c>
      <c r="L20" s="2" t="s">
        <v>90</v>
      </c>
      <c r="M20" s="2" t="s">
        <v>92</v>
      </c>
      <c r="N20" s="2">
        <v>0</v>
      </c>
      <c r="O20" s="2">
        <v>0</v>
      </c>
      <c r="P20" s="2">
        <v>0</v>
      </c>
      <c r="Q20" s="2">
        <v>0</v>
      </c>
      <c r="R20" s="2"/>
      <c r="S20" s="2"/>
      <c r="T20" s="2"/>
      <c r="U20" s="5"/>
      <c r="V20" s="5"/>
      <c r="W20" s="5"/>
      <c r="X20" s="5"/>
      <c r="Y20" s="5"/>
      <c r="Z20" s="5"/>
      <c r="AA20" s="5" t="s">
        <v>27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 t="str">
        <f t="shared" si="0"/>
        <v xml:space="preserve">JIMMY </v>
      </c>
      <c r="BC20" s="5" t="str">
        <f t="shared" si="1"/>
        <v>LLIBRE</v>
      </c>
      <c r="BD20" s="5" t="str">
        <f t="shared" si="5"/>
        <v>J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</row>
    <row r="21" spans="1:78" s="9" customFormat="1" x14ac:dyDescent="0.5">
      <c r="A21" s="2">
        <v>20</v>
      </c>
      <c r="B21" s="3">
        <v>17</v>
      </c>
      <c r="C21" s="4" t="s">
        <v>94</v>
      </c>
      <c r="D21" s="2" t="s">
        <v>96</v>
      </c>
      <c r="E21" s="2"/>
      <c r="F21" s="2" t="s">
        <v>64</v>
      </c>
      <c r="G21" s="2" t="s">
        <v>43</v>
      </c>
      <c r="H21" s="2" t="s">
        <v>40</v>
      </c>
      <c r="I21" s="2" t="s">
        <v>40</v>
      </c>
      <c r="J21" s="2" t="str">
        <f t="shared" si="6"/>
        <v>J. CHOCRÓN</v>
      </c>
      <c r="K21" s="2" t="str">
        <f t="shared" si="7"/>
        <v>CHOCRÓN</v>
      </c>
      <c r="L21" s="2" t="s">
        <v>64</v>
      </c>
      <c r="M21" s="2" t="s">
        <v>92</v>
      </c>
      <c r="N21" s="2">
        <v>0</v>
      </c>
      <c r="O21" s="2">
        <v>0</v>
      </c>
      <c r="P21" s="2">
        <v>0</v>
      </c>
      <c r="Q21" s="2">
        <v>0</v>
      </c>
      <c r="R21" s="2"/>
      <c r="S21" s="2"/>
      <c r="T21" s="2"/>
      <c r="U21" s="5"/>
      <c r="V21" s="5"/>
      <c r="W21" s="5"/>
      <c r="X21" s="5"/>
      <c r="Y21" s="5"/>
      <c r="Z21" s="5"/>
      <c r="AA21" s="5" t="s">
        <v>28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 t="str">
        <f t="shared" si="0"/>
        <v xml:space="preserve">JOHN </v>
      </c>
      <c r="BC21" s="5" t="str">
        <f t="shared" si="1"/>
        <v>CHOCRÓN</v>
      </c>
      <c r="BD21" s="5" t="str">
        <f t="shared" si="5"/>
        <v>J</v>
      </c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</row>
    <row r="22" spans="1:78" s="9" customFormat="1" x14ac:dyDescent="0.5">
      <c r="A22" s="2">
        <v>21</v>
      </c>
      <c r="B22" s="3">
        <v>88</v>
      </c>
      <c r="C22" s="4" t="s">
        <v>59</v>
      </c>
      <c r="D22" s="2" t="s">
        <v>96</v>
      </c>
      <c r="E22" s="2"/>
      <c r="F22" s="2" t="s">
        <v>64</v>
      </c>
      <c r="G22" s="2" t="s">
        <v>44</v>
      </c>
      <c r="H22" s="2" t="s">
        <v>42</v>
      </c>
      <c r="I22" s="2" t="s">
        <v>42</v>
      </c>
      <c r="J22" s="2" t="str">
        <f t="shared" si="6"/>
        <v>J. BRANDAO</v>
      </c>
      <c r="K22" s="2" t="str">
        <f t="shared" si="7"/>
        <v>BRANDAO</v>
      </c>
      <c r="L22" s="2" t="s">
        <v>64</v>
      </c>
      <c r="M22" s="2" t="s">
        <v>92</v>
      </c>
      <c r="N22" s="2">
        <v>0</v>
      </c>
      <c r="O22" s="2">
        <v>0</v>
      </c>
      <c r="P22" s="2">
        <v>0</v>
      </c>
      <c r="Q22" s="2">
        <v>0</v>
      </c>
      <c r="R22" s="2"/>
      <c r="S22" s="2"/>
      <c r="T22" s="2"/>
      <c r="U22" s="5"/>
      <c r="V22" s="5"/>
      <c r="W22" s="5"/>
      <c r="X22" s="5"/>
      <c r="Y22" s="5"/>
      <c r="Z22" s="5"/>
      <c r="AA22" s="5" t="s">
        <v>29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 t="str">
        <f t="shared" si="0"/>
        <v xml:space="preserve">JAVIER </v>
      </c>
      <c r="BC22" s="5" t="str">
        <f t="shared" si="1"/>
        <v>BRANDAO</v>
      </c>
      <c r="BD22" s="5" t="str">
        <f t="shared" si="5"/>
        <v>J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</row>
    <row r="23" spans="1:78" x14ac:dyDescent="0.5">
      <c r="A23" s="2"/>
      <c r="B23" s="3"/>
      <c r="C23" s="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5"/>
      <c r="V23" s="5"/>
      <c r="W23" s="5"/>
      <c r="AA23" s="5" t="s">
        <v>30</v>
      </c>
      <c r="BB23" s="5" t="e">
        <f t="shared" si="0"/>
        <v>#VALUE!</v>
      </c>
      <c r="BC23" s="5" t="e">
        <f t="shared" si="1"/>
        <v>#VALUE!</v>
      </c>
      <c r="BD23" s="5" t="str">
        <f t="shared" si="5"/>
        <v/>
      </c>
    </row>
    <row r="24" spans="1:78" x14ac:dyDescent="0.5">
      <c r="A24" s="2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5"/>
      <c r="V24" s="5"/>
      <c r="W24" s="5"/>
      <c r="AA24" s="5" t="s">
        <v>31</v>
      </c>
      <c r="BB24" s="5" t="e">
        <f t="shared" si="0"/>
        <v>#VALUE!</v>
      </c>
      <c r="BC24" s="5" t="e">
        <f t="shared" si="1"/>
        <v>#VALUE!</v>
      </c>
      <c r="BD24" s="5" t="str">
        <f t="shared" si="5"/>
        <v/>
      </c>
    </row>
    <row r="25" spans="1:78" x14ac:dyDescent="0.5">
      <c r="A25" s="2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5"/>
      <c r="V25" s="5"/>
      <c r="W25" s="5"/>
      <c r="AA25" s="5" t="s">
        <v>32</v>
      </c>
      <c r="BB25" s="5" t="e">
        <f t="shared" si="0"/>
        <v>#VALUE!</v>
      </c>
      <c r="BC25" s="5" t="e">
        <f t="shared" si="1"/>
        <v>#VALUE!</v>
      </c>
      <c r="BD25" s="5" t="str">
        <f t="shared" si="5"/>
        <v/>
      </c>
    </row>
    <row r="26" spans="1:78" x14ac:dyDescent="0.5">
      <c r="A26" s="2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5"/>
      <c r="V26" s="5"/>
      <c r="W26" s="5"/>
      <c r="AA26" s="5" t="s">
        <v>33</v>
      </c>
      <c r="BB26" s="5" t="e">
        <f t="shared" si="0"/>
        <v>#VALUE!</v>
      </c>
      <c r="BC26" s="5" t="e">
        <f t="shared" si="1"/>
        <v>#VALUE!</v>
      </c>
      <c r="BD26" s="5" t="str">
        <f t="shared" si="5"/>
        <v/>
      </c>
    </row>
    <row r="27" spans="1:78" x14ac:dyDescent="0.5">
      <c r="A27" s="2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5"/>
      <c r="V27" s="5"/>
      <c r="W27" s="5"/>
      <c r="AA27" s="5" t="s">
        <v>29</v>
      </c>
      <c r="BB27" s="5" t="e">
        <f t="shared" si="0"/>
        <v>#VALUE!</v>
      </c>
      <c r="BC27" s="5" t="e">
        <f t="shared" si="1"/>
        <v>#VALUE!</v>
      </c>
      <c r="BD27" s="5" t="str">
        <f t="shared" si="5"/>
        <v/>
      </c>
    </row>
    <row r="28" spans="1:78" x14ac:dyDescent="0.5">
      <c r="A28" s="2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5"/>
      <c r="V28" s="5"/>
      <c r="W28" s="5"/>
      <c r="AA28" s="5" t="s">
        <v>34</v>
      </c>
      <c r="BB28" s="5" t="e">
        <f t="shared" si="0"/>
        <v>#VALUE!</v>
      </c>
      <c r="BC28" s="5" t="e">
        <f t="shared" si="1"/>
        <v>#VALUE!</v>
      </c>
      <c r="BD28" s="5" t="str">
        <f t="shared" si="5"/>
        <v/>
      </c>
    </row>
    <row r="29" spans="1:78" x14ac:dyDescent="0.5">
      <c r="A29" s="2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5"/>
      <c r="V29" s="5"/>
      <c r="W29" s="5"/>
      <c r="AA29" s="5" t="s">
        <v>34</v>
      </c>
      <c r="BB29" s="5" t="e">
        <f>MID(C29,1,SEARCH(" ",C29,1))</f>
        <v>#VALUE!</v>
      </c>
      <c r="BC29" s="5" t="e">
        <f>RIGHT(C29,LEN(C29)-FIND(" ",C29))</f>
        <v>#VALUE!</v>
      </c>
      <c r="BD29" s="5" t="str">
        <f>LEFT(C29,1)</f>
        <v/>
      </c>
    </row>
    <row r="30" spans="1:78" x14ac:dyDescent="0.5">
      <c r="A30" s="2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5"/>
      <c r="V30" s="5"/>
      <c r="W30" s="5"/>
      <c r="AA30" s="5" t="s">
        <v>34</v>
      </c>
      <c r="BB30" s="5" t="e">
        <f>MID(C30,1,SEARCH(" ",C30,1))</f>
        <v>#VALUE!</v>
      </c>
      <c r="BC30" s="5" t="e">
        <f>RIGHT(C30,LEN(C30)-FIND(" ",C30))</f>
        <v>#VALUE!</v>
      </c>
      <c r="BD30" s="5" t="str">
        <f>LEFT(C30,1)</f>
        <v/>
      </c>
    </row>
    <row r="31" spans="1:78" x14ac:dyDescent="0.5">
      <c r="A31" s="2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5"/>
      <c r="V31" s="5"/>
      <c r="W31" s="5"/>
      <c r="AA31" s="5" t="s">
        <v>34</v>
      </c>
      <c r="BB31" s="5" t="e">
        <f>MID(C31,1,SEARCH(" ",C31,1))</f>
        <v>#VALUE!</v>
      </c>
      <c r="BC31" s="5" t="e">
        <f>RIGHT(C31,LEN(C31)-FIND(" ",C31))</f>
        <v>#VALUE!</v>
      </c>
      <c r="BD31" s="5" t="str">
        <f>LEFT(C31,1)</f>
        <v/>
      </c>
    </row>
    <row r="32" spans="1:78" x14ac:dyDescent="0.5">
      <c r="A32" s="2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5"/>
      <c r="V32" s="5"/>
      <c r="W32" s="5"/>
      <c r="AA32" s="5" t="s">
        <v>34</v>
      </c>
      <c r="BB32" s="5" t="e">
        <f>MID(C32,1,SEARCH(" ",C32,1))</f>
        <v>#VALUE!</v>
      </c>
      <c r="BC32" s="5" t="e">
        <f>RIGHT(C32,LEN(C32)-FIND(" ",C32))</f>
        <v>#VALUE!</v>
      </c>
      <c r="BD32" s="5" t="str">
        <f>LEFT(C32,1)</f>
        <v/>
      </c>
    </row>
    <row r="33" spans="1:56" x14ac:dyDescent="0.5">
      <c r="A33" s="2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5"/>
      <c r="V33" s="5"/>
      <c r="W33" s="5"/>
      <c r="AA33" s="5" t="s">
        <v>34</v>
      </c>
      <c r="BB33" s="5" t="e">
        <f>MID(C33,1,SEARCH(" ",C33,1))</f>
        <v>#VALUE!</v>
      </c>
      <c r="BC33" s="5" t="e">
        <f>RIGHT(C33,LEN(C33)-FIND(" ",C33))</f>
        <v>#VALUE!</v>
      </c>
      <c r="BD33" s="5" t="str">
        <f>LEFT(C33,1)</f>
        <v/>
      </c>
    </row>
    <row r="34" spans="1:56" x14ac:dyDescent="0.5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"/>
      <c r="V34" s="5"/>
      <c r="W34" s="5"/>
    </row>
    <row r="35" spans="1:56" x14ac:dyDescent="0.5">
      <c r="A35" s="2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5"/>
      <c r="V35" s="5"/>
      <c r="W35" s="5"/>
    </row>
    <row r="36" spans="1:56" x14ac:dyDescent="0.5">
      <c r="A36" s="5"/>
      <c r="B36" s="5"/>
      <c r="D36" s="5"/>
      <c r="K36" s="5"/>
      <c r="U36" s="5"/>
      <c r="V36" s="5"/>
      <c r="W36" s="5"/>
    </row>
    <row r="37" spans="1:56" x14ac:dyDescent="0.5">
      <c r="A37" s="5"/>
      <c r="B37" s="5"/>
      <c r="D37" s="5"/>
      <c r="K37" s="5"/>
      <c r="U37" s="5"/>
      <c r="V37" s="5"/>
      <c r="W37" s="5"/>
    </row>
    <row r="38" spans="1:56" x14ac:dyDescent="0.5">
      <c r="A38" s="5"/>
      <c r="B38" s="5"/>
      <c r="D38" s="5"/>
      <c r="K38" s="5"/>
      <c r="U38" s="5"/>
      <c r="V38" s="5"/>
      <c r="W38" s="5"/>
    </row>
    <row r="39" spans="1:56" x14ac:dyDescent="0.5">
      <c r="A39" s="5"/>
      <c r="B39" s="5"/>
      <c r="D39" s="5"/>
      <c r="K39" s="5"/>
      <c r="U39" s="5"/>
      <c r="V39" s="5"/>
      <c r="W39" s="5"/>
    </row>
    <row r="40" spans="1:56" x14ac:dyDescent="0.5">
      <c r="A40" s="5"/>
      <c r="B40" s="5"/>
      <c r="D40" s="5"/>
      <c r="K40" s="5"/>
      <c r="U40" s="5"/>
      <c r="V40" s="5"/>
      <c r="W40" s="5"/>
    </row>
    <row r="41" spans="1:56" x14ac:dyDescent="0.5">
      <c r="A41" s="5"/>
      <c r="B41" s="5"/>
      <c r="D41" s="5"/>
      <c r="K41" s="5"/>
      <c r="U41" s="5"/>
      <c r="V41" s="5"/>
      <c r="W41" s="5"/>
    </row>
    <row r="42" spans="1:56" x14ac:dyDescent="0.5">
      <c r="A42" s="5"/>
      <c r="B42" s="5"/>
      <c r="D42" s="5"/>
      <c r="K42" s="5"/>
      <c r="U42" s="5"/>
      <c r="V42" s="5"/>
      <c r="W42" s="5"/>
    </row>
    <row r="43" spans="1:56" x14ac:dyDescent="0.5">
      <c r="A43" s="5"/>
      <c r="B43" s="5"/>
      <c r="D43" s="5"/>
      <c r="K43" s="5"/>
      <c r="U43" s="5"/>
      <c r="V43" s="5"/>
      <c r="W43" s="5"/>
    </row>
    <row r="44" spans="1:56" x14ac:dyDescent="0.5">
      <c r="A44" s="5"/>
      <c r="B44" s="5"/>
      <c r="D44" s="5"/>
      <c r="K44" s="5"/>
      <c r="U44" s="5"/>
      <c r="V44" s="5"/>
      <c r="W44" s="5"/>
    </row>
    <row r="45" spans="1:56" x14ac:dyDescent="0.5">
      <c r="A45" s="5"/>
      <c r="B45" s="5"/>
      <c r="D45" s="5"/>
      <c r="K45" s="5"/>
      <c r="U45" s="5"/>
      <c r="V45" s="5"/>
      <c r="W45" s="5"/>
    </row>
    <row r="46" spans="1:56" x14ac:dyDescent="0.5">
      <c r="A46" s="5"/>
      <c r="B46" s="5"/>
      <c r="D46" s="5"/>
      <c r="K46" s="5"/>
      <c r="U46" s="5"/>
      <c r="V46" s="5"/>
      <c r="W46" s="5"/>
    </row>
    <row r="47" spans="1:56" x14ac:dyDescent="0.5">
      <c r="A47" s="5"/>
      <c r="B47" s="5"/>
      <c r="D47" s="5"/>
      <c r="K47" s="5"/>
      <c r="U47" s="5"/>
      <c r="V47" s="5"/>
      <c r="W47" s="5"/>
    </row>
    <row r="48" spans="1:56" x14ac:dyDescent="0.5">
      <c r="A48" s="5"/>
      <c r="B48" s="5"/>
      <c r="D48" s="5"/>
      <c r="K48" s="5"/>
      <c r="U48" s="5"/>
      <c r="V48" s="5"/>
      <c r="W48" s="5"/>
    </row>
    <row r="49" s="5" customFormat="1" x14ac:dyDescent="0.5"/>
    <row r="50" s="5" customFormat="1" x14ac:dyDescent="0.5"/>
    <row r="51" s="5" customFormat="1" x14ac:dyDescent="0.5"/>
    <row r="52" s="5" customFormat="1" x14ac:dyDescent="0.5"/>
    <row r="53" s="5" customFormat="1" x14ac:dyDescent="0.5"/>
    <row r="54" s="5" customFormat="1" x14ac:dyDescent="0.5"/>
    <row r="55" s="5" customFormat="1" x14ac:dyDescent="0.5"/>
    <row r="56" s="5" customFormat="1" x14ac:dyDescent="0.5"/>
    <row r="57" s="5" customFormat="1" x14ac:dyDescent="0.5"/>
    <row r="58" s="5" customFormat="1" x14ac:dyDescent="0.5"/>
    <row r="59" s="5" customFormat="1" x14ac:dyDescent="0.5"/>
    <row r="60" s="5" customFormat="1" x14ac:dyDescent="0.5"/>
    <row r="61" s="5" customFormat="1" x14ac:dyDescent="0.5"/>
    <row r="62" s="5" customFormat="1" x14ac:dyDescent="0.5"/>
    <row r="63" s="5" customFormat="1" x14ac:dyDescent="0.5"/>
    <row r="64" s="5" customFormat="1" x14ac:dyDescent="0.5"/>
    <row r="65" s="5" customFormat="1" x14ac:dyDescent="0.5"/>
    <row r="66" s="5" customFormat="1" x14ac:dyDescent="0.5"/>
    <row r="67" s="5" customFormat="1" x14ac:dyDescent="0.5"/>
    <row r="68" s="5" customFormat="1" x14ac:dyDescent="0.5"/>
    <row r="69" s="5" customFormat="1" x14ac:dyDescent="0.5"/>
    <row r="70" s="5" customFormat="1" x14ac:dyDescent="0.5"/>
    <row r="71" s="5" customFormat="1" x14ac:dyDescent="0.5"/>
    <row r="72" s="5" customFormat="1" x14ac:dyDescent="0.5"/>
    <row r="73" s="5" customFormat="1" x14ac:dyDescent="0.5"/>
    <row r="74" s="5" customFormat="1" x14ac:dyDescent="0.5"/>
    <row r="75" s="5" customFormat="1" x14ac:dyDescent="0.5"/>
    <row r="76" s="5" customFormat="1" x14ac:dyDescent="0.5"/>
    <row r="77" s="5" customFormat="1" x14ac:dyDescent="0.5"/>
    <row r="78" s="5" customFormat="1" x14ac:dyDescent="0.5"/>
    <row r="79" s="5" customFormat="1" x14ac:dyDescent="0.5"/>
    <row r="80" s="5" customFormat="1" x14ac:dyDescent="0.5"/>
    <row r="81" s="5" customFormat="1" x14ac:dyDescent="0.5"/>
    <row r="82" s="5" customFormat="1" x14ac:dyDescent="0.5"/>
    <row r="83" s="5" customFormat="1" x14ac:dyDescent="0.5"/>
    <row r="84" s="5" customFormat="1" x14ac:dyDescent="0.5"/>
    <row r="85" s="5" customFormat="1" x14ac:dyDescent="0.5"/>
    <row r="86" s="5" customFormat="1" x14ac:dyDescent="0.5"/>
    <row r="87" s="5" customFormat="1" x14ac:dyDescent="0.5"/>
    <row r="88" s="5" customFormat="1" x14ac:dyDescent="0.5"/>
    <row r="89" s="5" customFormat="1" x14ac:dyDescent="0.5"/>
    <row r="90" s="5" customFormat="1" x14ac:dyDescent="0.5"/>
    <row r="91" s="5" customFormat="1" x14ac:dyDescent="0.5"/>
    <row r="92" s="5" customFormat="1" x14ac:dyDescent="0.5"/>
    <row r="93" s="5" customFormat="1" x14ac:dyDescent="0.5"/>
    <row r="94" s="5" customFormat="1" x14ac:dyDescent="0.5"/>
    <row r="95" s="5" customFormat="1" x14ac:dyDescent="0.5"/>
    <row r="96" s="5" customFormat="1" x14ac:dyDescent="0.5"/>
    <row r="97" s="5" customFormat="1" x14ac:dyDescent="0.5"/>
    <row r="98" s="5" customFormat="1" x14ac:dyDescent="0.5"/>
    <row r="99" s="5" customFormat="1" x14ac:dyDescent="0.5"/>
    <row r="100" s="5" customFormat="1" x14ac:dyDescent="0.5"/>
    <row r="101" s="5" customFormat="1" x14ac:dyDescent="0.5"/>
    <row r="102" s="5" customFormat="1" x14ac:dyDescent="0.5"/>
    <row r="103" s="5" customFormat="1" x14ac:dyDescent="0.5"/>
    <row r="104" s="5" customFormat="1" x14ac:dyDescent="0.5"/>
    <row r="105" s="5" customFormat="1" x14ac:dyDescent="0.5"/>
    <row r="106" s="5" customFormat="1" x14ac:dyDescent="0.5"/>
    <row r="107" s="5" customFormat="1" x14ac:dyDescent="0.5"/>
    <row r="108" s="5" customFormat="1" x14ac:dyDescent="0.5"/>
    <row r="109" s="5" customFormat="1" x14ac:dyDescent="0.5"/>
    <row r="110" s="5" customFormat="1" x14ac:dyDescent="0.5"/>
    <row r="111" s="5" customFormat="1" x14ac:dyDescent="0.5"/>
    <row r="112" s="5" customFormat="1" x14ac:dyDescent="0.5"/>
    <row r="113" s="5" customFormat="1" x14ac:dyDescent="0.5"/>
    <row r="114" s="5" customFormat="1" x14ac:dyDescent="0.5"/>
    <row r="115" s="5" customFormat="1" x14ac:dyDescent="0.5"/>
    <row r="116" s="5" customFormat="1" x14ac:dyDescent="0.5"/>
    <row r="117" s="5" customFormat="1" x14ac:dyDescent="0.5"/>
    <row r="118" s="5" customFormat="1" x14ac:dyDescent="0.5"/>
    <row r="119" s="5" customFormat="1" x14ac:dyDescent="0.5"/>
    <row r="120" s="5" customFormat="1" x14ac:dyDescent="0.5"/>
    <row r="121" s="5" customFormat="1" x14ac:dyDescent="0.5"/>
    <row r="122" s="5" customFormat="1" x14ac:dyDescent="0.5"/>
    <row r="123" s="5" customFormat="1" x14ac:dyDescent="0.5"/>
    <row r="124" s="5" customFormat="1" x14ac:dyDescent="0.5"/>
    <row r="125" s="5" customFormat="1" x14ac:dyDescent="0.5"/>
    <row r="126" s="5" customFormat="1" x14ac:dyDescent="0.5"/>
    <row r="127" s="5" customFormat="1" x14ac:dyDescent="0.5"/>
    <row r="128" s="5" customFormat="1" x14ac:dyDescent="0.5"/>
    <row r="129" s="5" customFormat="1" x14ac:dyDescent="0.5"/>
    <row r="130" s="5" customFormat="1" x14ac:dyDescent="0.5"/>
    <row r="131" s="5" customFormat="1" x14ac:dyDescent="0.5"/>
    <row r="132" s="5" customFormat="1" x14ac:dyDescent="0.5"/>
    <row r="133" s="5" customFormat="1" x14ac:dyDescent="0.5"/>
    <row r="134" s="5" customFormat="1" x14ac:dyDescent="0.5"/>
    <row r="135" s="5" customFormat="1" x14ac:dyDescent="0.5"/>
    <row r="136" s="5" customFormat="1" x14ac:dyDescent="0.5"/>
    <row r="137" s="5" customFormat="1" x14ac:dyDescent="0.5"/>
    <row r="138" s="5" customFormat="1" x14ac:dyDescent="0.5"/>
    <row r="139" s="5" customFormat="1" x14ac:dyDescent="0.5"/>
    <row r="140" s="5" customFormat="1" x14ac:dyDescent="0.5"/>
    <row r="141" s="5" customFormat="1" x14ac:dyDescent="0.5"/>
    <row r="142" s="5" customFormat="1" x14ac:dyDescent="0.5"/>
    <row r="143" s="5" customFormat="1" x14ac:dyDescent="0.5"/>
    <row r="144" s="5" customFormat="1" x14ac:dyDescent="0.5"/>
    <row r="145" s="5" customFormat="1" x14ac:dyDescent="0.5"/>
    <row r="146" s="5" customFormat="1" x14ac:dyDescent="0.5"/>
    <row r="147" s="5" customFormat="1" x14ac:dyDescent="0.5"/>
    <row r="148" s="5" customFormat="1" x14ac:dyDescent="0.5"/>
    <row r="149" s="5" customFormat="1" x14ac:dyDescent="0.5"/>
    <row r="150" s="5" customFormat="1" x14ac:dyDescent="0.5"/>
    <row r="151" s="5" customFormat="1" x14ac:dyDescent="0.5"/>
    <row r="152" s="5" customFormat="1" x14ac:dyDescent="0.5"/>
    <row r="153" s="5" customFormat="1" x14ac:dyDescent="0.5"/>
    <row r="154" s="5" customFormat="1" x14ac:dyDescent="0.5"/>
    <row r="155" s="5" customFormat="1" x14ac:dyDescent="0.5"/>
    <row r="156" s="5" customFormat="1" x14ac:dyDescent="0.5"/>
    <row r="157" s="5" customFormat="1" x14ac:dyDescent="0.5"/>
    <row r="158" s="5" customFormat="1" x14ac:dyDescent="0.5"/>
    <row r="159" s="5" customFormat="1" x14ac:dyDescent="0.5"/>
    <row r="160" s="5" customFormat="1" x14ac:dyDescent="0.5"/>
    <row r="161" s="5" customFormat="1" x14ac:dyDescent="0.5"/>
    <row r="162" s="5" customFormat="1" x14ac:dyDescent="0.5"/>
    <row r="163" s="5" customFormat="1" x14ac:dyDescent="0.5"/>
    <row r="164" s="5" customFormat="1" x14ac:dyDescent="0.5"/>
    <row r="165" s="5" customFormat="1" x14ac:dyDescent="0.5"/>
    <row r="166" s="5" customFormat="1" x14ac:dyDescent="0.5"/>
    <row r="167" s="5" customFormat="1" x14ac:dyDescent="0.5"/>
    <row r="168" s="5" customFormat="1" x14ac:dyDescent="0.5"/>
    <row r="169" s="5" customFormat="1" x14ac:dyDescent="0.5"/>
    <row r="170" s="5" customFormat="1" x14ac:dyDescent="0.5"/>
    <row r="171" s="5" customFormat="1" x14ac:dyDescent="0.5"/>
    <row r="172" s="5" customFormat="1" x14ac:dyDescent="0.5"/>
    <row r="173" s="5" customFormat="1" x14ac:dyDescent="0.5"/>
    <row r="174" s="5" customFormat="1" x14ac:dyDescent="0.5"/>
    <row r="175" s="5" customFormat="1" x14ac:dyDescent="0.5"/>
    <row r="176" s="5" customFormat="1" x14ac:dyDescent="0.5"/>
    <row r="177" s="5" customFormat="1" x14ac:dyDescent="0.5"/>
    <row r="178" s="5" customFormat="1" x14ac:dyDescent="0.5"/>
    <row r="179" s="5" customFormat="1" x14ac:dyDescent="0.5"/>
    <row r="180" s="5" customFormat="1" x14ac:dyDescent="0.5"/>
    <row r="181" s="5" customFormat="1" x14ac:dyDescent="0.5"/>
    <row r="182" s="5" customFormat="1" x14ac:dyDescent="0.5"/>
    <row r="183" s="5" customFormat="1" x14ac:dyDescent="0.5"/>
    <row r="184" s="5" customFormat="1" x14ac:dyDescent="0.5"/>
    <row r="185" s="5" customFormat="1" x14ac:dyDescent="0.5"/>
    <row r="186" s="5" customFormat="1" x14ac:dyDescent="0.5"/>
    <row r="187" s="5" customFormat="1" x14ac:dyDescent="0.5"/>
    <row r="188" s="5" customFormat="1" x14ac:dyDescent="0.5"/>
    <row r="189" s="5" customFormat="1" x14ac:dyDescent="0.5"/>
    <row r="190" s="5" customFormat="1" x14ac:dyDescent="0.5"/>
    <row r="191" s="5" customFormat="1" x14ac:dyDescent="0.5"/>
    <row r="192" s="5" customFormat="1" x14ac:dyDescent="0.5"/>
    <row r="193" s="5" customFormat="1" x14ac:dyDescent="0.5"/>
    <row r="194" s="5" customFormat="1" x14ac:dyDescent="0.5"/>
    <row r="195" s="5" customFormat="1" x14ac:dyDescent="0.5"/>
    <row r="196" s="5" customFormat="1" x14ac:dyDescent="0.5"/>
    <row r="197" s="5" customFormat="1" x14ac:dyDescent="0.5"/>
    <row r="198" s="5" customFormat="1" x14ac:dyDescent="0.5"/>
    <row r="199" s="5" customFormat="1" x14ac:dyDescent="0.5"/>
    <row r="200" s="5" customFormat="1" x14ac:dyDescent="0.5"/>
    <row r="201" s="5" customFormat="1" x14ac:dyDescent="0.5"/>
    <row r="202" s="5" customFormat="1" x14ac:dyDescent="0.5"/>
    <row r="203" s="5" customFormat="1" x14ac:dyDescent="0.5"/>
    <row r="204" s="5" customFormat="1" x14ac:dyDescent="0.5"/>
    <row r="205" s="5" customFormat="1" x14ac:dyDescent="0.5"/>
    <row r="206" s="5" customFormat="1" x14ac:dyDescent="0.5"/>
    <row r="207" s="5" customFormat="1" x14ac:dyDescent="0.5"/>
    <row r="208" s="5" customFormat="1" x14ac:dyDescent="0.5"/>
    <row r="209" s="5" customFormat="1" x14ac:dyDescent="0.5"/>
    <row r="210" s="5" customFormat="1" x14ac:dyDescent="0.5"/>
    <row r="211" s="5" customFormat="1" x14ac:dyDescent="0.5"/>
    <row r="212" s="5" customFormat="1" x14ac:dyDescent="0.5"/>
    <row r="213" s="5" customFormat="1" x14ac:dyDescent="0.5"/>
    <row r="214" s="5" customFormat="1" x14ac:dyDescent="0.5"/>
    <row r="215" s="5" customFormat="1" x14ac:dyDescent="0.5"/>
    <row r="216" s="5" customFormat="1" x14ac:dyDescent="0.5"/>
    <row r="217" s="5" customFormat="1" x14ac:dyDescent="0.5"/>
    <row r="218" s="5" customFormat="1" x14ac:dyDescent="0.5"/>
    <row r="219" s="5" customFormat="1" x14ac:dyDescent="0.5"/>
    <row r="220" s="5" customFormat="1" x14ac:dyDescent="0.5"/>
    <row r="221" s="5" customFormat="1" x14ac:dyDescent="0.5"/>
    <row r="222" s="5" customFormat="1" x14ac:dyDescent="0.5"/>
    <row r="223" s="5" customFormat="1" x14ac:dyDescent="0.5"/>
    <row r="224" s="5" customFormat="1" x14ac:dyDescent="0.5"/>
    <row r="225" s="5" customFormat="1" x14ac:dyDescent="0.5"/>
    <row r="226" s="5" customFormat="1" x14ac:dyDescent="0.5"/>
    <row r="227" s="5" customFormat="1" x14ac:dyDescent="0.5"/>
    <row r="228" s="5" customFormat="1" x14ac:dyDescent="0.5"/>
    <row r="229" s="5" customFormat="1" x14ac:dyDescent="0.5"/>
    <row r="230" s="5" customFormat="1" x14ac:dyDescent="0.5"/>
    <row r="231" s="5" customFormat="1" x14ac:dyDescent="0.5"/>
    <row r="232" s="5" customFormat="1" x14ac:dyDescent="0.5"/>
    <row r="233" s="5" customFormat="1" x14ac:dyDescent="0.5"/>
    <row r="234" s="5" customFormat="1" x14ac:dyDescent="0.5"/>
    <row r="235" s="5" customFormat="1" x14ac:dyDescent="0.5"/>
    <row r="236" s="5" customFormat="1" x14ac:dyDescent="0.5"/>
    <row r="237" s="5" customFormat="1" x14ac:dyDescent="0.5"/>
    <row r="238" s="5" customFormat="1" x14ac:dyDescent="0.5"/>
    <row r="239" s="5" customFormat="1" x14ac:dyDescent="0.5"/>
    <row r="240" s="5" customFormat="1" x14ac:dyDescent="0.5"/>
    <row r="241" s="5" customFormat="1" x14ac:dyDescent="0.5"/>
    <row r="242" s="5" customFormat="1" x14ac:dyDescent="0.5"/>
    <row r="243" s="5" customFormat="1" x14ac:dyDescent="0.5"/>
    <row r="244" s="5" customFormat="1" x14ac:dyDescent="0.5"/>
    <row r="245" s="5" customFormat="1" x14ac:dyDescent="0.5"/>
    <row r="246" s="5" customFormat="1" x14ac:dyDescent="0.5"/>
    <row r="247" s="5" customFormat="1" x14ac:dyDescent="0.5"/>
    <row r="248" s="5" customFormat="1" x14ac:dyDescent="0.5"/>
    <row r="249" s="5" customFormat="1" x14ac:dyDescent="0.5"/>
    <row r="250" s="5" customFormat="1" x14ac:dyDescent="0.5"/>
    <row r="251" s="5" customFormat="1" x14ac:dyDescent="0.5"/>
    <row r="252" s="5" customFormat="1" x14ac:dyDescent="0.5"/>
    <row r="253" s="5" customFormat="1" x14ac:dyDescent="0.5"/>
    <row r="254" s="5" customFormat="1" x14ac:dyDescent="0.5"/>
    <row r="255" s="5" customFormat="1" x14ac:dyDescent="0.5"/>
    <row r="256" s="5" customFormat="1" x14ac:dyDescent="0.5"/>
    <row r="257" s="5" customFormat="1" x14ac:dyDescent="0.5"/>
    <row r="258" s="5" customFormat="1" x14ac:dyDescent="0.5"/>
    <row r="259" s="5" customFormat="1" x14ac:dyDescent="0.5"/>
    <row r="260" s="5" customFormat="1" x14ac:dyDescent="0.5"/>
    <row r="261" s="5" customFormat="1" x14ac:dyDescent="0.5"/>
    <row r="262" s="5" customFormat="1" x14ac:dyDescent="0.5"/>
    <row r="263" s="5" customFormat="1" x14ac:dyDescent="0.5"/>
    <row r="264" s="5" customFormat="1" x14ac:dyDescent="0.5"/>
    <row r="265" s="5" customFormat="1" x14ac:dyDescent="0.5"/>
    <row r="266" s="5" customFormat="1" x14ac:dyDescent="0.5"/>
    <row r="267" s="5" customFormat="1" x14ac:dyDescent="0.5"/>
    <row r="268" s="5" customFormat="1" x14ac:dyDescent="0.5"/>
    <row r="269" s="5" customFormat="1" x14ac:dyDescent="0.5"/>
    <row r="270" s="5" customFormat="1" x14ac:dyDescent="0.5"/>
    <row r="271" s="5" customFormat="1" x14ac:dyDescent="0.5"/>
    <row r="272" s="5" customFormat="1" x14ac:dyDescent="0.5"/>
    <row r="273" s="5" customFormat="1" x14ac:dyDescent="0.5"/>
    <row r="274" s="5" customFormat="1" x14ac:dyDescent="0.5"/>
    <row r="275" s="5" customFormat="1" x14ac:dyDescent="0.5"/>
    <row r="276" s="5" customFormat="1" x14ac:dyDescent="0.5"/>
    <row r="277" s="5" customFormat="1" x14ac:dyDescent="0.5"/>
    <row r="278" s="5" customFormat="1" x14ac:dyDescent="0.5"/>
    <row r="279" s="5" customFormat="1" x14ac:dyDescent="0.5"/>
    <row r="280" s="5" customFormat="1" x14ac:dyDescent="0.5"/>
    <row r="281" s="5" customFormat="1" x14ac:dyDescent="0.5"/>
    <row r="282" s="5" customFormat="1" x14ac:dyDescent="0.5"/>
    <row r="283" s="5" customFormat="1" x14ac:dyDescent="0.5"/>
    <row r="284" s="5" customFormat="1" x14ac:dyDescent="0.5"/>
    <row r="285" s="5" customFormat="1" x14ac:dyDescent="0.5"/>
    <row r="286" s="5" customFormat="1" x14ac:dyDescent="0.5"/>
    <row r="287" s="5" customFormat="1" x14ac:dyDescent="0.5"/>
    <row r="288" s="5" customFormat="1" x14ac:dyDescent="0.5"/>
    <row r="289" s="5" customFormat="1" x14ac:dyDescent="0.5"/>
    <row r="290" s="5" customFormat="1" x14ac:dyDescent="0.5"/>
    <row r="291" s="5" customFormat="1" x14ac:dyDescent="0.5"/>
    <row r="292" s="5" customFormat="1" x14ac:dyDescent="0.5"/>
    <row r="293" s="5" customFormat="1" x14ac:dyDescent="0.5"/>
    <row r="294" s="5" customFormat="1" x14ac:dyDescent="0.5"/>
    <row r="295" s="5" customFormat="1" x14ac:dyDescent="0.5"/>
    <row r="296" s="5" customFormat="1" x14ac:dyDescent="0.5"/>
    <row r="297" s="5" customFormat="1" x14ac:dyDescent="0.5"/>
    <row r="298" s="5" customFormat="1" x14ac:dyDescent="0.5"/>
    <row r="299" s="5" customFormat="1" x14ac:dyDescent="0.5"/>
    <row r="300" s="5" customFormat="1" x14ac:dyDescent="0.5"/>
    <row r="301" s="5" customFormat="1" x14ac:dyDescent="0.5"/>
    <row r="302" s="5" customFormat="1" x14ac:dyDescent="0.5"/>
    <row r="303" s="5" customFormat="1" x14ac:dyDescent="0.5"/>
    <row r="304" s="5" customFormat="1" x14ac:dyDescent="0.5"/>
    <row r="305" s="5" customFormat="1" x14ac:dyDescent="0.5"/>
    <row r="306" s="5" customFormat="1" x14ac:dyDescent="0.5"/>
    <row r="307" s="5" customFormat="1" x14ac:dyDescent="0.5"/>
    <row r="308" s="5" customFormat="1" x14ac:dyDescent="0.5"/>
    <row r="309" s="5" customFormat="1" x14ac:dyDescent="0.5"/>
    <row r="310" s="5" customFormat="1" x14ac:dyDescent="0.5"/>
    <row r="311" s="5" customFormat="1" x14ac:dyDescent="0.5"/>
    <row r="312" s="5" customFormat="1" x14ac:dyDescent="0.5"/>
    <row r="313" s="5" customFormat="1" x14ac:dyDescent="0.5"/>
    <row r="314" s="5" customFormat="1" x14ac:dyDescent="0.5"/>
    <row r="315" s="5" customFormat="1" x14ac:dyDescent="0.5"/>
    <row r="316" s="5" customFormat="1" x14ac:dyDescent="0.5"/>
    <row r="317" s="5" customFormat="1" x14ac:dyDescent="0.5"/>
    <row r="318" s="5" customFormat="1" x14ac:dyDescent="0.5"/>
    <row r="319" s="5" customFormat="1" x14ac:dyDescent="0.5"/>
    <row r="320" s="5" customFormat="1" x14ac:dyDescent="0.5"/>
    <row r="321" spans="1:23" x14ac:dyDescent="0.5">
      <c r="A321" s="5"/>
      <c r="B321" s="5"/>
      <c r="D321" s="5"/>
      <c r="K321" s="5"/>
      <c r="U321" s="5"/>
      <c r="V321" s="5"/>
      <c r="W321" s="5"/>
    </row>
    <row r="322" spans="1:23" x14ac:dyDescent="0.5">
      <c r="A322" s="5"/>
      <c r="B322" s="5"/>
      <c r="D322" s="5"/>
      <c r="K322" s="5"/>
      <c r="U322" s="5"/>
      <c r="V322" s="5"/>
      <c r="W322" s="5"/>
    </row>
    <row r="323" spans="1:23" x14ac:dyDescent="0.5">
      <c r="A323" s="5"/>
      <c r="B323" s="5"/>
      <c r="D323" s="5"/>
      <c r="K323" s="5"/>
      <c r="U323" s="5"/>
      <c r="V323" s="5"/>
      <c r="W323" s="5"/>
    </row>
    <row r="324" spans="1:23" x14ac:dyDescent="0.5">
      <c r="A324" s="5"/>
      <c r="B324" s="5"/>
      <c r="D324" s="5"/>
      <c r="K324" s="5"/>
      <c r="U324" s="5"/>
      <c r="V324" s="5"/>
      <c r="W324" s="5"/>
    </row>
    <row r="325" spans="1:23" x14ac:dyDescent="0.5">
      <c r="A325" s="5"/>
      <c r="B325" s="5"/>
      <c r="D325" s="5"/>
      <c r="K325" s="5"/>
      <c r="U325" s="5"/>
      <c r="V325" s="5"/>
      <c r="W325" s="5"/>
    </row>
    <row r="326" spans="1:23" x14ac:dyDescent="0.5">
      <c r="U326" s="5"/>
      <c r="V326" s="5"/>
      <c r="W326" s="5"/>
    </row>
    <row r="327" spans="1:23" x14ac:dyDescent="0.5">
      <c r="U327" s="5"/>
      <c r="V327" s="5"/>
      <c r="W327" s="5"/>
    </row>
    <row r="328" spans="1:23" x14ac:dyDescent="0.5">
      <c r="U328" s="5"/>
      <c r="V328" s="5"/>
      <c r="W328" s="5"/>
    </row>
    <row r="329" spans="1:23" x14ac:dyDescent="0.5">
      <c r="U329" s="5"/>
      <c r="V329" s="5"/>
      <c r="W329" s="5"/>
    </row>
  </sheetData>
  <phoneticPr fontId="5" type="noConversion"/>
  <pageMargins left="0.7" right="0.7" top="0.75" bottom="0.75" header="0.3" footer="0.3"/>
  <pageSetup paperSize="2321" orientation="portrait" horizontalDpi="16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</dc:creator>
  <cp:lastModifiedBy>Jesus Fernandez</cp:lastModifiedBy>
  <dcterms:created xsi:type="dcterms:W3CDTF">2019-03-10T17:47:15Z</dcterms:created>
  <dcterms:modified xsi:type="dcterms:W3CDTF">2026-03-21T03:05:25Z</dcterms:modified>
</cp:coreProperties>
</file>