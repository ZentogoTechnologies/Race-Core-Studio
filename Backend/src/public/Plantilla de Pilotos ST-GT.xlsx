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ace-G Graphics\Race-G 3.0\Race-G\Material\Drivers\"/>
    </mc:Choice>
  </mc:AlternateContent>
  <xr:revisionPtr revIDLastSave="0" documentId="13_ncr:1_{0128A687-FC19-49EC-905E-7D36AE0295B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K20" i="1"/>
  <c r="L20" i="1" s="1"/>
  <c r="J21" i="1"/>
  <c r="K21" i="1"/>
  <c r="L21" i="1"/>
  <c r="BD33" i="1"/>
  <c r="BC33" i="1"/>
  <c r="BB33" i="1"/>
  <c r="BD32" i="1"/>
  <c r="BC32" i="1"/>
  <c r="BB32" i="1"/>
  <c r="BB29" i="1"/>
  <c r="BC29" i="1"/>
  <c r="BD29" i="1"/>
  <c r="BB30" i="1"/>
  <c r="BC30" i="1"/>
  <c r="BD30" i="1"/>
  <c r="BB31" i="1"/>
  <c r="BC31" i="1"/>
  <c r="BD31" i="1"/>
  <c r="BB3" i="1"/>
  <c r="BC3" i="1"/>
  <c r="K3" i="1" s="1"/>
  <c r="L3" i="1" s="1"/>
  <c r="BD3" i="1"/>
  <c r="BB4" i="1"/>
  <c r="BC4" i="1"/>
  <c r="K4" i="1" s="1"/>
  <c r="L4" i="1" s="1"/>
  <c r="BD4" i="1"/>
  <c r="BB5" i="1"/>
  <c r="BC5" i="1"/>
  <c r="K5" i="1" s="1"/>
  <c r="L5" i="1" s="1"/>
  <c r="BD5" i="1"/>
  <c r="BB6" i="1"/>
  <c r="BC6" i="1"/>
  <c r="K6" i="1" s="1"/>
  <c r="L6" i="1" s="1"/>
  <c r="BD6" i="1"/>
  <c r="BB7" i="1"/>
  <c r="BC7" i="1"/>
  <c r="K7" i="1" s="1"/>
  <c r="L7" i="1" s="1"/>
  <c r="BD7" i="1"/>
  <c r="BB8" i="1"/>
  <c r="BC8" i="1"/>
  <c r="K8" i="1" s="1"/>
  <c r="L8" i="1" s="1"/>
  <c r="BD8" i="1"/>
  <c r="BB9" i="1"/>
  <c r="BC9" i="1"/>
  <c r="K9" i="1" s="1"/>
  <c r="L9" i="1" s="1"/>
  <c r="BD9" i="1"/>
  <c r="BB10" i="1"/>
  <c r="BC10" i="1"/>
  <c r="BD10" i="1"/>
  <c r="BB11" i="1"/>
  <c r="BC11" i="1"/>
  <c r="K11" i="1" s="1"/>
  <c r="L11" i="1" s="1"/>
  <c r="BD11" i="1"/>
  <c r="BB12" i="1"/>
  <c r="BC12" i="1"/>
  <c r="K12" i="1" s="1"/>
  <c r="L12" i="1" s="1"/>
  <c r="BD12" i="1"/>
  <c r="BB13" i="1"/>
  <c r="BC13" i="1"/>
  <c r="K13" i="1" s="1"/>
  <c r="L13" i="1" s="1"/>
  <c r="BD13" i="1"/>
  <c r="BB14" i="1"/>
  <c r="BC14" i="1"/>
  <c r="K14" i="1" s="1"/>
  <c r="L14" i="1" s="1"/>
  <c r="BD14" i="1"/>
  <c r="BB15" i="1"/>
  <c r="BC15" i="1"/>
  <c r="K15" i="1" s="1"/>
  <c r="L15" i="1" s="1"/>
  <c r="BD15" i="1"/>
  <c r="BB16" i="1"/>
  <c r="BC16" i="1"/>
  <c r="K16" i="1" s="1"/>
  <c r="L16" i="1" s="1"/>
  <c r="BD16" i="1"/>
  <c r="J16" i="1" s="1"/>
  <c r="BB17" i="1"/>
  <c r="BC17" i="1"/>
  <c r="K17" i="1" s="1"/>
  <c r="L17" i="1" s="1"/>
  <c r="BD17" i="1"/>
  <c r="BB18" i="1"/>
  <c r="BC18" i="1"/>
  <c r="BD18" i="1"/>
  <c r="BB19" i="1"/>
  <c r="BC19" i="1"/>
  <c r="K19" i="1" s="1"/>
  <c r="L19" i="1" s="1"/>
  <c r="BD19" i="1"/>
  <c r="J19" i="1" s="1"/>
  <c r="BB20" i="1"/>
  <c r="BC20" i="1"/>
  <c r="BD20" i="1"/>
  <c r="BB21" i="1"/>
  <c r="BC21" i="1"/>
  <c r="BD21" i="1"/>
  <c r="BB22" i="1"/>
  <c r="BC22" i="1"/>
  <c r="BD22" i="1"/>
  <c r="BB23" i="1"/>
  <c r="BC23" i="1"/>
  <c r="BD23" i="1"/>
  <c r="BB24" i="1"/>
  <c r="BC24" i="1"/>
  <c r="BD24" i="1"/>
  <c r="BB25" i="1"/>
  <c r="BC25" i="1"/>
  <c r="BD25" i="1"/>
  <c r="BB26" i="1"/>
  <c r="BC26" i="1"/>
  <c r="BD26" i="1"/>
  <c r="BB27" i="1"/>
  <c r="BC27" i="1"/>
  <c r="BD27" i="1"/>
  <c r="BB28" i="1"/>
  <c r="BC28" i="1"/>
  <c r="BD28" i="1"/>
  <c r="BB2" i="1"/>
  <c r="BC2" i="1"/>
  <c r="K2" i="1" s="1"/>
  <c r="L2" i="1" s="1"/>
  <c r="BD2" i="1"/>
  <c r="J2" i="1" s="1"/>
  <c r="J18" i="1" l="1"/>
  <c r="J7" i="1"/>
  <c r="J3" i="1"/>
  <c r="J14" i="1"/>
  <c r="J13" i="1"/>
  <c r="J8" i="1"/>
  <c r="J4" i="1"/>
  <c r="J15" i="1"/>
  <c r="J10" i="1"/>
  <c r="J12" i="1"/>
  <c r="K18" i="1"/>
  <c r="L18" i="1" s="1"/>
  <c r="J9" i="1"/>
  <c r="J5" i="1"/>
  <c r="J17" i="1"/>
  <c r="J11" i="1"/>
  <c r="J6" i="1"/>
  <c r="K10" i="1"/>
  <c r="L10" i="1" s="1"/>
</calcChain>
</file>

<file path=xl/sharedStrings.xml><?xml version="1.0" encoding="utf-8"?>
<sst xmlns="http://schemas.openxmlformats.org/spreadsheetml/2006/main" count="128" uniqueCount="53">
  <si>
    <t>NRO</t>
  </si>
  <si>
    <t>FULL NAME</t>
  </si>
  <si>
    <t>MAKE</t>
  </si>
  <si>
    <t>TEAM</t>
  </si>
  <si>
    <t>NOMBRE</t>
  </si>
  <si>
    <t>APELLIDO</t>
  </si>
  <si>
    <t>SHORT</t>
  </si>
  <si>
    <t>CLASS</t>
  </si>
  <si>
    <t>NO USE</t>
  </si>
  <si>
    <t>NAT</t>
  </si>
  <si>
    <t>#FFFFFF</t>
  </si>
  <si>
    <t>#FF0000</t>
  </si>
  <si>
    <t>#FFFF00</t>
  </si>
  <si>
    <t>#0F0FF9</t>
  </si>
  <si>
    <t>#66FF33</t>
  </si>
  <si>
    <t>#5A5A5A</t>
  </si>
  <si>
    <t>#FFFF01</t>
  </si>
  <si>
    <t>#66FF34</t>
  </si>
  <si>
    <t>#FFFF02</t>
  </si>
  <si>
    <t>#66FF35</t>
  </si>
  <si>
    <t>#FFFF03</t>
  </si>
  <si>
    <t>#66FF36</t>
  </si>
  <si>
    <t>#FFFF04</t>
  </si>
  <si>
    <t>#66FF37</t>
  </si>
  <si>
    <t>#FFFF05</t>
  </si>
  <si>
    <t>#66FF38</t>
  </si>
  <si>
    <t>044</t>
  </si>
  <si>
    <t>04</t>
  </si>
  <si>
    <t>RICARDO LOO</t>
  </si>
  <si>
    <t>EDWIN SERRANO</t>
  </si>
  <si>
    <t>K. KING</t>
  </si>
  <si>
    <t>ANDRES GOMEZ</t>
  </si>
  <si>
    <t>OBED BARRIOS</t>
  </si>
  <si>
    <t>PREDRO TUÑON</t>
  </si>
  <si>
    <t>ORLANDO GARCIA</t>
  </si>
  <si>
    <t>ERICK LEON</t>
  </si>
  <si>
    <t>CESAR SALAZAR</t>
  </si>
  <si>
    <t>ADRIAN SALDAÑA</t>
  </si>
  <si>
    <t>ROBERTO SANDOVAL</t>
  </si>
  <si>
    <t>ALEX VANEGAS JR</t>
  </si>
  <si>
    <t>ROBERTO CARLES</t>
  </si>
  <si>
    <t>ANDREY CALVO</t>
  </si>
  <si>
    <t>ROLANDO MELENDEZ</t>
  </si>
  <si>
    <t>RENE GONZALEZ</t>
  </si>
  <si>
    <t>NICOLAS RUEDAS</t>
  </si>
  <si>
    <t>OSCAR DIAZ</t>
  </si>
  <si>
    <t>RICARDO CALDERON</t>
  </si>
  <si>
    <t>CARLOS GONZALEZ</t>
  </si>
  <si>
    <t>GRAN TURISMO C</t>
  </si>
  <si>
    <t>GRAN TURISMO B</t>
  </si>
  <si>
    <t>SUPER TURISMO 4</t>
  </si>
  <si>
    <t>SUPER TURISMO 3</t>
  </si>
  <si>
    <t>#FFFF06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</si>
</sst>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 tint="0.7999816888943144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9.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/>
      <right/>
      <top/>
      <bottom style="dotted">
        <color rgb="FF28B4E7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1" fillId="0" borderId="1" xfId="1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4" fillId="0" borderId="2" xfId="0" applyFont="1" applyFill="1" applyBorder="1" applyAlignment="1">
      <alignment horizontal="center" wrapText="1"/>
    </xf>
    <xf numFmtId="0" fontId="0" fillId="0" borderId="0" xfId="0" applyFill="1" applyAlignment="1">
      <alignment horizontal="left" wrapText="1"/>
    </xf>
    <xf numFmtId="0" fontId="4" fillId="0" borderId="2" xfId="0" quotePrefix="1" applyFont="1" applyFill="1" applyBorder="1" applyAlignment="1">
      <alignment horizontal="center" wrapText="1"/>
    </xf>
    <xf numFmtId="1" fontId="0" fillId="0" borderId="1" xfId="0" applyNumberFormat="1" applyFill="1" applyBorder="1"/>
    <xf numFmtId="49" fontId="0" fillId="0" borderId="1" xfId="0" applyNumberFormat="1" applyFill="1" applyBorder="1"/>
    <xf numFmtId="0" fontId="3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D329"/>
  <sheetViews>
    <sheetView tabSelected="1" zoomScaleNormal="100" workbookViewId="0">
      <selection activeCell="M22" sqref="M22"/>
    </sheetView>
  </sheetViews>
  <sheetFormatPr baseColWidth="10" defaultColWidth="11.3984375" defaultRowHeight="14.25" x14ac:dyDescent="0.45"/>
  <cols>
    <col min="1" max="1" width="3.86328125" style="7" bestFit="1" customWidth="1"/>
    <col min="2" max="2" width="6.86328125" style="8" bestFit="1" customWidth="1"/>
    <col min="3" max="3" width="25.265625" style="3" bestFit="1" customWidth="1"/>
    <col min="4" max="4" width="12.86328125" style="9" bestFit="1" customWidth="1"/>
    <col min="5" max="5" width="26.86328125" style="3" bestFit="1" customWidth="1"/>
    <col min="6" max="6" width="6.3984375" style="3" bestFit="1" customWidth="1"/>
    <col min="7" max="8" width="10.59765625" style="3" bestFit="1" customWidth="1"/>
    <col min="9" max="9" width="10" style="3" bestFit="1" customWidth="1"/>
    <col min="10" max="10" width="17.73046875" style="3" bestFit="1" customWidth="1"/>
    <col min="11" max="11" width="15.265625" style="1" bestFit="1" customWidth="1"/>
    <col min="12" max="12" width="10" style="3" bestFit="1" customWidth="1"/>
    <col min="13" max="13" width="19.59765625" style="3" customWidth="1"/>
    <col min="14" max="16" width="10.59765625" style="10" bestFit="1" customWidth="1"/>
    <col min="17" max="20" width="10.59765625" style="3" bestFit="1" customWidth="1"/>
    <col min="21" max="23" width="10.59765625" style="11" bestFit="1" customWidth="1"/>
    <col min="24" max="28" width="10.59765625" style="3" bestFit="1" customWidth="1"/>
    <col min="29" max="30" width="11.86328125" style="3" hidden="1" customWidth="1"/>
    <col min="31" max="31" width="11.59765625" style="3" bestFit="1" customWidth="1"/>
    <col min="32" max="35" width="11.3984375" style="3" customWidth="1"/>
    <col min="36" max="53" width="11.3984375" style="3"/>
    <col min="54" max="54" width="12" style="3" bestFit="1" customWidth="1"/>
    <col min="55" max="55" width="15.265625" style="3" bestFit="1" customWidth="1"/>
    <col min="56" max="56" width="3.1328125" style="3" bestFit="1" customWidth="1"/>
    <col min="57" max="16384" width="11.3984375" style="3"/>
  </cols>
  <sheetData>
    <row r="1" spans="1:56" s="2" customFormat="1" x14ac:dyDescent="0.45">
      <c r="B1" s="2" t="s">
        <v>0</v>
      </c>
      <c r="C1" s="2" t="s">
        <v>1</v>
      </c>
      <c r="D1" s="2" t="s">
        <v>2</v>
      </c>
      <c r="E1" s="2" t="s">
        <v>3</v>
      </c>
      <c r="F1" s="2" t="s">
        <v>9</v>
      </c>
      <c r="G1" s="2" t="s">
        <v>8</v>
      </c>
      <c r="H1" s="2" t="s">
        <v>8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8</v>
      </c>
      <c r="P1" s="2" t="s">
        <v>8</v>
      </c>
      <c r="Q1" s="2" t="s">
        <v>8</v>
      </c>
      <c r="R1" s="2" t="s">
        <v>8</v>
      </c>
      <c r="S1" s="2" t="s">
        <v>8</v>
      </c>
      <c r="T1" s="2" t="s">
        <v>8</v>
      </c>
      <c r="U1" s="2" t="s">
        <v>8</v>
      </c>
      <c r="V1" s="2" t="s">
        <v>8</v>
      </c>
      <c r="W1" s="2" t="s">
        <v>8</v>
      </c>
      <c r="X1" s="2" t="s">
        <v>8</v>
      </c>
      <c r="Y1" s="2" t="s">
        <v>8</v>
      </c>
      <c r="Z1" s="2" t="s">
        <v>8</v>
      </c>
      <c r="AA1" s="2" t="s">
        <v>8</v>
      </c>
      <c r="AB1" s="2" t="s">
        <v>8</v>
      </c>
    </row>
    <row r="2" spans="1:56" x14ac:dyDescent="0.45">
      <c r="A2" s="3">
        <v>1</v>
      </c>
      <c r="B2" s="4">
        <v>29</v>
      </c>
      <c r="C2" s="5" t="s">
        <v>28</v>
      </c>
      <c r="D2" s="3"/>
      <c r="G2" s="3" t="s">
        <v>10</v>
      </c>
      <c r="H2" s="3" t="s">
        <v>11</v>
      </c>
      <c r="I2" s="3" t="s">
        <v>11</v>
      </c>
      <c r="J2" s="3" t="str">
        <f>CONCATENATE(BD2,"."," ",BC2)</f>
        <v>R. LOO</v>
      </c>
      <c r="K2" s="3" t="str">
        <f>BC2</f>
        <v>LOO</v>
      </c>
      <c r="L2" s="3" t="str">
        <f>LEFT(K2,3)</f>
        <v>LOO</v>
      </c>
      <c r="M2" s="3" t="s">
        <v>48</v>
      </c>
      <c r="N2" s="3">
        <v>0</v>
      </c>
      <c r="O2" s="3">
        <v>0</v>
      </c>
      <c r="P2" s="3">
        <v>0</v>
      </c>
      <c r="Q2" s="3">
        <v>0</v>
      </c>
      <c r="U2" s="3"/>
      <c r="V2" s="3"/>
      <c r="W2" s="3"/>
      <c r="BB2" s="3" t="str">
        <f t="shared" ref="BB2:BB28" si="0">MID(C2,1,SEARCH(" ",C2,1))</f>
        <v xml:space="preserve">RICARDO </v>
      </c>
      <c r="BC2" s="3" t="str">
        <f t="shared" ref="BC2:BC28" si="1">RIGHT(C2,LEN(C2)-FIND(" ",C2))</f>
        <v>LOO</v>
      </c>
      <c r="BD2" s="3" t="str">
        <f>LEFT(C2,1)</f>
        <v>R</v>
      </c>
    </row>
    <row r="3" spans="1:56" x14ac:dyDescent="0.45">
      <c r="A3" s="3">
        <v>2</v>
      </c>
      <c r="B3" s="4">
        <v>25</v>
      </c>
      <c r="C3" s="5" t="s">
        <v>29</v>
      </c>
      <c r="D3" s="3"/>
      <c r="G3" s="3" t="s">
        <v>12</v>
      </c>
      <c r="H3" s="3" t="s">
        <v>13</v>
      </c>
      <c r="I3" s="3" t="s">
        <v>13</v>
      </c>
      <c r="J3" s="3" t="str">
        <f t="shared" ref="J3:J19" si="2">CONCATENATE(BD3,"."," ",BC3)</f>
        <v>E. SERRANO</v>
      </c>
      <c r="K3" s="3" t="str">
        <f t="shared" ref="K3:K19" si="3">BC3</f>
        <v>SERRANO</v>
      </c>
      <c r="L3" s="3" t="str">
        <f t="shared" ref="L3:L19" si="4">LEFT(K3,3)</f>
        <v>SER</v>
      </c>
      <c r="M3" s="3" t="s">
        <v>48</v>
      </c>
      <c r="N3" s="3">
        <v>0</v>
      </c>
      <c r="O3" s="3">
        <v>0</v>
      </c>
      <c r="P3" s="3">
        <v>0</v>
      </c>
      <c r="Q3" s="3">
        <v>0</v>
      </c>
      <c r="U3" s="3"/>
      <c r="V3" s="3"/>
      <c r="W3" s="3"/>
      <c r="BB3" s="3" t="str">
        <f t="shared" si="0"/>
        <v xml:space="preserve">EDWIN </v>
      </c>
      <c r="BC3" s="3" t="str">
        <f t="shared" si="1"/>
        <v>SERRANO</v>
      </c>
      <c r="BD3" s="3" t="str">
        <f t="shared" ref="BD3:BD28" si="5">LEFT(C3,1)</f>
        <v>E</v>
      </c>
    </row>
    <row r="4" spans="1:56" x14ac:dyDescent="0.45">
      <c r="A4" s="3">
        <v>3</v>
      </c>
      <c r="B4" s="4">
        <v>44</v>
      </c>
      <c r="C4" s="5" t="s">
        <v>30</v>
      </c>
      <c r="D4" s="3"/>
      <c r="G4" s="3" t="s">
        <v>14</v>
      </c>
      <c r="H4" s="3" t="s">
        <v>15</v>
      </c>
      <c r="I4" s="3" t="s">
        <v>15</v>
      </c>
      <c r="J4" s="3" t="str">
        <f t="shared" si="2"/>
        <v>K. KING</v>
      </c>
      <c r="K4" s="3" t="str">
        <f t="shared" si="3"/>
        <v>KING</v>
      </c>
      <c r="L4" s="3" t="str">
        <f t="shared" si="4"/>
        <v>KIN</v>
      </c>
      <c r="M4" s="3" t="s">
        <v>49</v>
      </c>
      <c r="N4" s="3">
        <v>0</v>
      </c>
      <c r="O4" s="3">
        <v>0</v>
      </c>
      <c r="P4" s="3">
        <v>0</v>
      </c>
      <c r="Q4" s="3">
        <v>0</v>
      </c>
      <c r="U4" s="3"/>
      <c r="V4" s="3"/>
      <c r="W4" s="3"/>
      <c r="BB4" s="3" t="str">
        <f t="shared" si="0"/>
        <v xml:space="preserve">K. </v>
      </c>
      <c r="BC4" s="3" t="str">
        <f t="shared" si="1"/>
        <v>KING</v>
      </c>
      <c r="BD4" s="3" t="str">
        <f t="shared" si="5"/>
        <v>K</v>
      </c>
    </row>
    <row r="5" spans="1:56" x14ac:dyDescent="0.45">
      <c r="A5" s="3">
        <v>4</v>
      </c>
      <c r="B5" s="4">
        <v>92</v>
      </c>
      <c r="C5" s="5" t="s">
        <v>31</v>
      </c>
      <c r="D5" s="3"/>
      <c r="G5" s="3" t="s">
        <v>10</v>
      </c>
      <c r="H5" s="3" t="s">
        <v>11</v>
      </c>
      <c r="I5" s="3" t="s">
        <v>11</v>
      </c>
      <c r="J5" s="3" t="str">
        <f t="shared" si="2"/>
        <v>A. GOMEZ</v>
      </c>
      <c r="K5" s="3" t="str">
        <f t="shared" si="3"/>
        <v>GOMEZ</v>
      </c>
      <c r="L5" s="3" t="str">
        <f t="shared" si="4"/>
        <v>GOM</v>
      </c>
      <c r="M5" s="3" t="s">
        <v>50</v>
      </c>
      <c r="N5" s="3">
        <v>0</v>
      </c>
      <c r="O5" s="3">
        <v>0</v>
      </c>
      <c r="P5" s="3">
        <v>0</v>
      </c>
      <c r="Q5" s="3">
        <v>0</v>
      </c>
      <c r="U5" s="3"/>
      <c r="V5" s="3"/>
      <c r="W5" s="3"/>
      <c r="BB5" s="3" t="str">
        <f t="shared" si="0"/>
        <v xml:space="preserve">ANDRES </v>
      </c>
      <c r="BC5" s="3" t="str">
        <f t="shared" si="1"/>
        <v>GOMEZ</v>
      </c>
      <c r="BD5" s="3" t="str">
        <f t="shared" si="5"/>
        <v>A</v>
      </c>
    </row>
    <row r="6" spans="1:56" x14ac:dyDescent="0.45">
      <c r="A6" s="3">
        <v>5</v>
      </c>
      <c r="B6" s="6" t="s">
        <v>26</v>
      </c>
      <c r="C6" s="5" t="s">
        <v>32</v>
      </c>
      <c r="D6" s="3"/>
      <c r="G6" s="3" t="s">
        <v>16</v>
      </c>
      <c r="H6" s="3" t="s">
        <v>13</v>
      </c>
      <c r="I6" s="3" t="s">
        <v>13</v>
      </c>
      <c r="J6" s="3" t="str">
        <f t="shared" si="2"/>
        <v>O. BARRIOS</v>
      </c>
      <c r="K6" s="3" t="str">
        <f t="shared" si="3"/>
        <v>BARRIOS</v>
      </c>
      <c r="L6" s="3" t="str">
        <f t="shared" si="4"/>
        <v>BAR</v>
      </c>
      <c r="M6" s="3" t="s">
        <v>51</v>
      </c>
      <c r="N6" s="3">
        <v>0</v>
      </c>
      <c r="O6" s="3">
        <v>0</v>
      </c>
      <c r="P6" s="3">
        <v>0</v>
      </c>
      <c r="Q6" s="3">
        <v>0</v>
      </c>
      <c r="U6" s="3"/>
      <c r="V6" s="3"/>
      <c r="W6" s="3"/>
      <c r="BB6" s="3" t="str">
        <f t="shared" si="0"/>
        <v xml:space="preserve">OBED </v>
      </c>
      <c r="BC6" s="3" t="str">
        <f t="shared" si="1"/>
        <v>BARRIOS</v>
      </c>
      <c r="BD6" s="3" t="str">
        <f t="shared" si="5"/>
        <v>O</v>
      </c>
    </row>
    <row r="7" spans="1:56" x14ac:dyDescent="0.45">
      <c r="A7" s="3">
        <v>6</v>
      </c>
      <c r="B7" s="4">
        <v>288</v>
      </c>
      <c r="C7" s="5" t="s">
        <v>33</v>
      </c>
      <c r="D7" s="3"/>
      <c r="G7" s="3" t="s">
        <v>17</v>
      </c>
      <c r="H7" s="3" t="s">
        <v>15</v>
      </c>
      <c r="I7" s="3" t="s">
        <v>15</v>
      </c>
      <c r="J7" s="3" t="str">
        <f t="shared" si="2"/>
        <v>P. TUÑON</v>
      </c>
      <c r="K7" s="3" t="str">
        <f t="shared" si="3"/>
        <v>TUÑON</v>
      </c>
      <c r="L7" s="3" t="str">
        <f t="shared" si="4"/>
        <v>TUÑ</v>
      </c>
      <c r="M7" s="3" t="s">
        <v>50</v>
      </c>
      <c r="N7" s="3">
        <v>0</v>
      </c>
      <c r="O7" s="3">
        <v>0</v>
      </c>
      <c r="P7" s="3">
        <v>0</v>
      </c>
      <c r="Q7" s="3">
        <v>0</v>
      </c>
      <c r="U7" s="3"/>
      <c r="V7" s="3"/>
      <c r="W7" s="3"/>
      <c r="BB7" s="3" t="str">
        <f t="shared" si="0"/>
        <v xml:space="preserve">PREDRO </v>
      </c>
      <c r="BC7" s="3" t="str">
        <f t="shared" si="1"/>
        <v>TUÑON</v>
      </c>
      <c r="BD7" s="3" t="str">
        <f t="shared" si="5"/>
        <v>P</v>
      </c>
    </row>
    <row r="8" spans="1:56" x14ac:dyDescent="0.45">
      <c r="A8" s="3">
        <v>7</v>
      </c>
      <c r="B8" s="6">
        <v>2</v>
      </c>
      <c r="C8" s="5" t="s">
        <v>34</v>
      </c>
      <c r="D8" s="3"/>
      <c r="G8" s="3" t="s">
        <v>10</v>
      </c>
      <c r="H8" s="3" t="s">
        <v>11</v>
      </c>
      <c r="I8" s="3" t="s">
        <v>11</v>
      </c>
      <c r="J8" s="3" t="str">
        <f t="shared" si="2"/>
        <v>O. GARCIA</v>
      </c>
      <c r="K8" s="3" t="str">
        <f t="shared" si="3"/>
        <v>GARCIA</v>
      </c>
      <c r="L8" s="3" t="str">
        <f t="shared" si="4"/>
        <v>GAR</v>
      </c>
      <c r="M8" s="3" t="s">
        <v>51</v>
      </c>
      <c r="N8" s="3">
        <v>0</v>
      </c>
      <c r="O8" s="3">
        <v>0</v>
      </c>
      <c r="P8" s="3">
        <v>0</v>
      </c>
      <c r="Q8" s="3">
        <v>0</v>
      </c>
      <c r="U8" s="3"/>
      <c r="V8" s="3"/>
      <c r="W8" s="3"/>
      <c r="BB8" s="3" t="str">
        <f t="shared" si="0"/>
        <v xml:space="preserve">ORLANDO </v>
      </c>
      <c r="BC8" s="3" t="str">
        <f t="shared" si="1"/>
        <v>GARCIA</v>
      </c>
      <c r="BD8" s="3" t="str">
        <f t="shared" si="5"/>
        <v>O</v>
      </c>
    </row>
    <row r="9" spans="1:56" x14ac:dyDescent="0.45">
      <c r="A9" s="3">
        <v>8</v>
      </c>
      <c r="B9" s="4">
        <v>72</v>
      </c>
      <c r="C9" s="5" t="s">
        <v>35</v>
      </c>
      <c r="D9" s="3"/>
      <c r="G9" s="3" t="s">
        <v>18</v>
      </c>
      <c r="H9" s="3" t="s">
        <v>13</v>
      </c>
      <c r="I9" s="3" t="s">
        <v>13</v>
      </c>
      <c r="J9" s="3" t="str">
        <f t="shared" si="2"/>
        <v>E. LEON</v>
      </c>
      <c r="K9" s="3" t="str">
        <f t="shared" si="3"/>
        <v>LEON</v>
      </c>
      <c r="L9" s="3" t="str">
        <f t="shared" si="4"/>
        <v>LEO</v>
      </c>
      <c r="M9" s="3" t="s">
        <v>50</v>
      </c>
      <c r="N9" s="3">
        <v>0</v>
      </c>
      <c r="O9" s="3">
        <v>0</v>
      </c>
      <c r="P9" s="3">
        <v>0</v>
      </c>
      <c r="Q9" s="3">
        <v>0</v>
      </c>
      <c r="U9" s="3"/>
      <c r="V9" s="3"/>
      <c r="W9" s="3"/>
      <c r="BB9" s="3" t="str">
        <f t="shared" si="0"/>
        <v xml:space="preserve">ERICK </v>
      </c>
      <c r="BC9" s="3" t="str">
        <f t="shared" si="1"/>
        <v>LEON</v>
      </c>
      <c r="BD9" s="3" t="str">
        <f t="shared" si="5"/>
        <v>E</v>
      </c>
    </row>
    <row r="10" spans="1:56" x14ac:dyDescent="0.45">
      <c r="A10" s="3">
        <v>9</v>
      </c>
      <c r="B10" s="4">
        <v>31</v>
      </c>
      <c r="C10" s="5" t="s">
        <v>36</v>
      </c>
      <c r="D10" s="3"/>
      <c r="G10" s="3" t="s">
        <v>19</v>
      </c>
      <c r="H10" s="3" t="s">
        <v>15</v>
      </c>
      <c r="I10" s="3" t="s">
        <v>15</v>
      </c>
      <c r="J10" s="3" t="str">
        <f t="shared" si="2"/>
        <v>C. SALAZAR</v>
      </c>
      <c r="K10" s="3" t="str">
        <f t="shared" si="3"/>
        <v>SALAZAR</v>
      </c>
      <c r="L10" s="3" t="str">
        <f t="shared" si="4"/>
        <v>SAL</v>
      </c>
      <c r="M10" s="3" t="s">
        <v>51</v>
      </c>
      <c r="N10" s="3">
        <v>0</v>
      </c>
      <c r="O10" s="3">
        <v>0</v>
      </c>
      <c r="P10" s="3">
        <v>0</v>
      </c>
      <c r="Q10" s="3">
        <v>0</v>
      </c>
      <c r="U10" s="3"/>
      <c r="V10" s="3"/>
      <c r="W10" s="3"/>
      <c r="BB10" s="3" t="str">
        <f t="shared" si="0"/>
        <v xml:space="preserve">CESAR </v>
      </c>
      <c r="BC10" s="3" t="str">
        <f t="shared" si="1"/>
        <v>SALAZAR</v>
      </c>
      <c r="BD10" s="3" t="str">
        <f t="shared" si="5"/>
        <v>C</v>
      </c>
    </row>
    <row r="11" spans="1:56" x14ac:dyDescent="0.45">
      <c r="A11" s="3">
        <v>10</v>
      </c>
      <c r="B11" s="6" t="s">
        <v>27</v>
      </c>
      <c r="C11" s="5" t="s">
        <v>37</v>
      </c>
      <c r="D11" s="3"/>
      <c r="G11" s="3" t="s">
        <v>10</v>
      </c>
      <c r="H11" s="3" t="s">
        <v>11</v>
      </c>
      <c r="I11" s="3" t="s">
        <v>11</v>
      </c>
      <c r="J11" s="3" t="str">
        <f t="shared" si="2"/>
        <v>A. SALDAÑA</v>
      </c>
      <c r="K11" s="3" t="str">
        <f t="shared" si="3"/>
        <v>SALDAÑA</v>
      </c>
      <c r="L11" s="3" t="str">
        <f t="shared" si="4"/>
        <v>SAL</v>
      </c>
      <c r="M11" s="3" t="s">
        <v>48</v>
      </c>
      <c r="N11" s="3">
        <v>0</v>
      </c>
      <c r="O11" s="3">
        <v>0</v>
      </c>
      <c r="P11" s="3">
        <v>0</v>
      </c>
      <c r="Q11" s="3">
        <v>0</v>
      </c>
      <c r="U11" s="3"/>
      <c r="V11" s="3"/>
      <c r="W11" s="3"/>
      <c r="BB11" s="3" t="str">
        <f t="shared" si="0"/>
        <v xml:space="preserve">ADRIAN </v>
      </c>
      <c r="BC11" s="3" t="str">
        <f t="shared" si="1"/>
        <v>SALDAÑA</v>
      </c>
      <c r="BD11" s="3" t="str">
        <f t="shared" si="5"/>
        <v>A</v>
      </c>
    </row>
    <row r="12" spans="1:56" x14ac:dyDescent="0.45">
      <c r="A12" s="3">
        <v>11</v>
      </c>
      <c r="B12" s="4">
        <v>1111</v>
      </c>
      <c r="C12" s="5" t="s">
        <v>38</v>
      </c>
      <c r="D12" s="3"/>
      <c r="G12" s="3" t="s">
        <v>20</v>
      </c>
      <c r="H12" s="3" t="s">
        <v>13</v>
      </c>
      <c r="I12" s="3" t="s">
        <v>13</v>
      </c>
      <c r="J12" s="3" t="str">
        <f t="shared" si="2"/>
        <v>R. SANDOVAL</v>
      </c>
      <c r="K12" s="3" t="str">
        <f t="shared" si="3"/>
        <v>SANDOVAL</v>
      </c>
      <c r="L12" s="3" t="str">
        <f t="shared" si="4"/>
        <v>SAN</v>
      </c>
      <c r="M12" s="3" t="s">
        <v>51</v>
      </c>
      <c r="N12" s="3">
        <v>0</v>
      </c>
      <c r="O12" s="3">
        <v>0</v>
      </c>
      <c r="P12" s="3">
        <v>0</v>
      </c>
      <c r="Q12" s="3">
        <v>0</v>
      </c>
      <c r="U12" s="3"/>
      <c r="V12" s="3"/>
      <c r="W12" s="3"/>
      <c r="BB12" s="3" t="str">
        <f t="shared" si="0"/>
        <v xml:space="preserve">ROBERTO </v>
      </c>
      <c r="BC12" s="3" t="str">
        <f t="shared" si="1"/>
        <v>SANDOVAL</v>
      </c>
      <c r="BD12" s="3" t="str">
        <f t="shared" si="5"/>
        <v>R</v>
      </c>
    </row>
    <row r="13" spans="1:56" x14ac:dyDescent="0.45">
      <c r="A13" s="3">
        <v>12</v>
      </c>
      <c r="B13" s="4">
        <v>33</v>
      </c>
      <c r="C13" s="5" t="s">
        <v>39</v>
      </c>
      <c r="D13" s="3"/>
      <c r="G13" s="3" t="s">
        <v>21</v>
      </c>
      <c r="H13" s="3" t="s">
        <v>15</v>
      </c>
      <c r="I13" s="3" t="s">
        <v>15</v>
      </c>
      <c r="J13" s="3" t="str">
        <f t="shared" si="2"/>
        <v>A. VANEGAS JR</v>
      </c>
      <c r="K13" s="3" t="str">
        <f t="shared" si="3"/>
        <v>VANEGAS JR</v>
      </c>
      <c r="L13" s="3" t="str">
        <f t="shared" si="4"/>
        <v>VAN</v>
      </c>
      <c r="M13" s="3" t="s">
        <v>51</v>
      </c>
      <c r="N13" s="3">
        <v>0</v>
      </c>
      <c r="O13" s="3">
        <v>0</v>
      </c>
      <c r="P13" s="3">
        <v>0</v>
      </c>
      <c r="Q13" s="3">
        <v>0</v>
      </c>
      <c r="U13" s="3"/>
      <c r="V13" s="3"/>
      <c r="W13" s="3"/>
      <c r="BB13" s="3" t="str">
        <f t="shared" si="0"/>
        <v xml:space="preserve">ALEX </v>
      </c>
      <c r="BC13" s="3" t="str">
        <f t="shared" si="1"/>
        <v>VANEGAS JR</v>
      </c>
      <c r="BD13" s="3" t="str">
        <f t="shared" si="5"/>
        <v>A</v>
      </c>
    </row>
    <row r="14" spans="1:56" x14ac:dyDescent="0.45">
      <c r="A14" s="3">
        <v>13</v>
      </c>
      <c r="B14" s="4">
        <v>79</v>
      </c>
      <c r="C14" s="5" t="s">
        <v>40</v>
      </c>
      <c r="D14" s="3"/>
      <c r="G14" s="3" t="s">
        <v>10</v>
      </c>
      <c r="H14" s="3" t="s">
        <v>11</v>
      </c>
      <c r="I14" s="3" t="s">
        <v>11</v>
      </c>
      <c r="J14" s="3" t="str">
        <f t="shared" si="2"/>
        <v>R. CARLES</v>
      </c>
      <c r="K14" s="3" t="str">
        <f t="shared" si="3"/>
        <v>CARLES</v>
      </c>
      <c r="L14" s="3" t="str">
        <f t="shared" si="4"/>
        <v>CAR</v>
      </c>
      <c r="M14" s="3" t="s">
        <v>51</v>
      </c>
      <c r="N14" s="3">
        <v>0</v>
      </c>
      <c r="O14" s="3">
        <v>0</v>
      </c>
      <c r="P14" s="3">
        <v>0</v>
      </c>
      <c r="Q14" s="3">
        <v>0</v>
      </c>
      <c r="U14" s="3"/>
      <c r="V14" s="3"/>
      <c r="W14" s="3"/>
      <c r="BB14" s="3" t="str">
        <f t="shared" si="0"/>
        <v xml:space="preserve">ROBERTO </v>
      </c>
      <c r="BC14" s="3" t="str">
        <f t="shared" si="1"/>
        <v>CARLES</v>
      </c>
      <c r="BD14" s="3" t="str">
        <f t="shared" si="5"/>
        <v>R</v>
      </c>
    </row>
    <row r="15" spans="1:56" x14ac:dyDescent="0.45">
      <c r="A15" s="3">
        <v>14</v>
      </c>
      <c r="B15" s="4">
        <v>69</v>
      </c>
      <c r="C15" s="5" t="s">
        <v>41</v>
      </c>
      <c r="D15" s="3"/>
      <c r="G15" s="3" t="s">
        <v>22</v>
      </c>
      <c r="H15" s="3" t="s">
        <v>13</v>
      </c>
      <c r="I15" s="3" t="s">
        <v>13</v>
      </c>
      <c r="J15" s="3" t="str">
        <f t="shared" si="2"/>
        <v>A. CALVO</v>
      </c>
      <c r="K15" s="3" t="str">
        <f t="shared" si="3"/>
        <v>CALVO</v>
      </c>
      <c r="L15" s="3" t="str">
        <f t="shared" si="4"/>
        <v>CAL</v>
      </c>
      <c r="M15" s="3" t="s">
        <v>50</v>
      </c>
      <c r="N15" s="3">
        <v>0</v>
      </c>
      <c r="O15" s="3">
        <v>0</v>
      </c>
      <c r="P15" s="3">
        <v>0</v>
      </c>
      <c r="Q15" s="3">
        <v>0</v>
      </c>
      <c r="U15" s="3"/>
      <c r="V15" s="3"/>
      <c r="W15" s="3"/>
      <c r="BB15" s="3" t="str">
        <f t="shared" si="0"/>
        <v xml:space="preserve">ANDREY </v>
      </c>
      <c r="BC15" s="3" t="str">
        <f t="shared" si="1"/>
        <v>CALVO</v>
      </c>
      <c r="BD15" s="3" t="str">
        <f t="shared" si="5"/>
        <v>A</v>
      </c>
    </row>
    <row r="16" spans="1:56" x14ac:dyDescent="0.45">
      <c r="A16" s="3">
        <v>15</v>
      </c>
      <c r="B16" s="4">
        <v>924</v>
      </c>
      <c r="C16" s="5" t="s">
        <v>42</v>
      </c>
      <c r="D16" s="3"/>
      <c r="G16" s="3" t="s">
        <v>23</v>
      </c>
      <c r="H16" s="3" t="s">
        <v>15</v>
      </c>
      <c r="I16" s="3" t="s">
        <v>15</v>
      </c>
      <c r="J16" s="3" t="str">
        <f t="shared" si="2"/>
        <v>R. MELENDEZ</v>
      </c>
      <c r="K16" s="3" t="str">
        <f t="shared" si="3"/>
        <v>MELENDEZ</v>
      </c>
      <c r="L16" s="3" t="str">
        <f t="shared" si="4"/>
        <v>MEL</v>
      </c>
      <c r="M16" s="3" t="s">
        <v>50</v>
      </c>
      <c r="N16" s="3">
        <v>0</v>
      </c>
      <c r="O16" s="3">
        <v>0</v>
      </c>
      <c r="P16" s="3">
        <v>0</v>
      </c>
      <c r="Q16" s="3">
        <v>0</v>
      </c>
      <c r="U16" s="3"/>
      <c r="V16" s="3"/>
      <c r="W16" s="3"/>
      <c r="BB16" s="3" t="str">
        <f t="shared" si="0"/>
        <v xml:space="preserve">ROLANDO </v>
      </c>
      <c r="BC16" s="3" t="str">
        <f t="shared" si="1"/>
        <v>MELENDEZ</v>
      </c>
      <c r="BD16" s="3" t="str">
        <f t="shared" si="5"/>
        <v>R</v>
      </c>
    </row>
    <row r="17" spans="1:56" x14ac:dyDescent="0.45">
      <c r="A17" s="3">
        <v>16</v>
      </c>
      <c r="B17" s="4">
        <v>58</v>
      </c>
      <c r="C17" s="5" t="s">
        <v>43</v>
      </c>
      <c r="D17" s="3"/>
      <c r="G17" s="3" t="s">
        <v>10</v>
      </c>
      <c r="H17" s="3" t="s">
        <v>11</v>
      </c>
      <c r="I17" s="3" t="s">
        <v>11</v>
      </c>
      <c r="J17" s="3" t="str">
        <f t="shared" si="2"/>
        <v>R. GONZALEZ</v>
      </c>
      <c r="K17" s="3" t="str">
        <f t="shared" si="3"/>
        <v>GONZALEZ</v>
      </c>
      <c r="L17" s="3" t="str">
        <f t="shared" si="4"/>
        <v>GON</v>
      </c>
      <c r="M17" s="3" t="s">
        <v>51</v>
      </c>
      <c r="N17" s="3">
        <v>0</v>
      </c>
      <c r="O17" s="3">
        <v>0</v>
      </c>
      <c r="P17" s="3">
        <v>0</v>
      </c>
      <c r="Q17" s="3">
        <v>0</v>
      </c>
      <c r="U17" s="3"/>
      <c r="V17" s="3"/>
      <c r="W17" s="3"/>
      <c r="BB17" s="3" t="str">
        <f t="shared" si="0"/>
        <v xml:space="preserve">RENE </v>
      </c>
      <c r="BC17" s="3" t="str">
        <f t="shared" si="1"/>
        <v>GONZALEZ</v>
      </c>
      <c r="BD17" s="3" t="str">
        <f t="shared" si="5"/>
        <v>R</v>
      </c>
    </row>
    <row r="18" spans="1:56" x14ac:dyDescent="0.45">
      <c r="A18" s="3">
        <v>17</v>
      </c>
      <c r="B18" s="4">
        <v>145</v>
      </c>
      <c r="C18" s="5" t="s">
        <v>44</v>
      </c>
      <c r="D18" s="3"/>
      <c r="G18" s="3" t="s">
        <v>24</v>
      </c>
      <c r="H18" s="3" t="s">
        <v>13</v>
      </c>
      <c r="I18" s="3" t="s">
        <v>13</v>
      </c>
      <c r="J18" s="3" t="str">
        <f t="shared" si="2"/>
        <v>N. RUEDAS</v>
      </c>
      <c r="K18" s="3" t="str">
        <f t="shared" si="3"/>
        <v>RUEDAS</v>
      </c>
      <c r="L18" s="3" t="str">
        <f t="shared" si="4"/>
        <v>RUE</v>
      </c>
      <c r="M18" s="3" t="s">
        <v>51</v>
      </c>
      <c r="N18" s="3">
        <v>0</v>
      </c>
      <c r="O18" s="3">
        <v>0</v>
      </c>
      <c r="P18" s="3">
        <v>0</v>
      </c>
      <c r="Q18" s="3">
        <v>0</v>
      </c>
      <c r="U18" s="3"/>
      <c r="V18" s="3"/>
      <c r="W18" s="3"/>
      <c r="BB18" s="3" t="str">
        <f t="shared" si="0"/>
        <v xml:space="preserve">NICOLAS </v>
      </c>
      <c r="BC18" s="3" t="str">
        <f t="shared" si="1"/>
        <v>RUEDAS</v>
      </c>
      <c r="BD18" s="3" t="str">
        <f t="shared" si="5"/>
        <v>N</v>
      </c>
    </row>
    <row r="19" spans="1:56" x14ac:dyDescent="0.45">
      <c r="A19" s="3">
        <v>18</v>
      </c>
      <c r="B19" s="4">
        <v>1820</v>
      </c>
      <c r="C19" s="5" t="s">
        <v>45</v>
      </c>
      <c r="D19" s="3"/>
      <c r="G19" s="3" t="s">
        <v>25</v>
      </c>
      <c r="H19" s="3" t="s">
        <v>15</v>
      </c>
      <c r="I19" s="3" t="s">
        <v>15</v>
      </c>
      <c r="J19" s="3" t="str">
        <f t="shared" si="2"/>
        <v>O. DIAZ</v>
      </c>
      <c r="K19" s="3" t="str">
        <f t="shared" si="3"/>
        <v>DIAZ</v>
      </c>
      <c r="L19" s="3" t="str">
        <f t="shared" si="4"/>
        <v>DIA</v>
      </c>
      <c r="M19" s="3" t="s">
        <v>51</v>
      </c>
      <c r="N19" s="3">
        <v>0</v>
      </c>
      <c r="O19" s="3">
        <v>0</v>
      </c>
      <c r="P19" s="3">
        <v>0</v>
      </c>
      <c r="Q19" s="3">
        <v>0</v>
      </c>
      <c r="U19" s="3"/>
      <c r="V19" s="3"/>
      <c r="W19" s="3"/>
      <c r="BB19" s="3" t="str">
        <f t="shared" si="0"/>
        <v xml:space="preserve">OSCAR </v>
      </c>
      <c r="BC19" s="3" t="str">
        <f t="shared" si="1"/>
        <v>DIAZ</v>
      </c>
      <c r="BD19" s="3" t="str">
        <f t="shared" si="5"/>
        <v>O</v>
      </c>
    </row>
    <row r="20" spans="1:56" x14ac:dyDescent="0.45">
      <c r="A20" s="3">
        <v>19</v>
      </c>
      <c r="B20" s="4">
        <v>777</v>
      </c>
      <c r="C20" s="5" t="s">
        <v>46</v>
      </c>
      <c r="D20" s="3"/>
      <c r="G20" s="3" t="s">
        <v>10</v>
      </c>
      <c r="H20" s="3" t="s">
        <v>11</v>
      </c>
      <c r="I20" s="3" t="s">
        <v>11</v>
      </c>
      <c r="J20" s="3" t="str">
        <f t="shared" ref="J20:J21" si="6">CONCATENATE(BD20,"."," ",BC20)</f>
        <v>R. CALDERON</v>
      </c>
      <c r="K20" s="3" t="str">
        <f t="shared" ref="K20:K21" si="7">BC20</f>
        <v>CALDERON</v>
      </c>
      <c r="L20" s="3" t="str">
        <f t="shared" ref="L20:L21" si="8">LEFT(K20,3)</f>
        <v>CAL</v>
      </c>
      <c r="M20" s="3" t="s">
        <v>48</v>
      </c>
      <c r="N20" s="3">
        <v>0</v>
      </c>
      <c r="O20" s="3">
        <v>0</v>
      </c>
      <c r="P20" s="3">
        <v>0</v>
      </c>
      <c r="Q20" s="3">
        <v>0</v>
      </c>
      <c r="U20" s="3"/>
      <c r="V20" s="3"/>
      <c r="W20" s="3"/>
      <c r="BB20" s="3" t="str">
        <f t="shared" si="0"/>
        <v xml:space="preserve">RICARDO </v>
      </c>
      <c r="BC20" s="3" t="str">
        <f t="shared" si="1"/>
        <v>CALDERON</v>
      </c>
      <c r="BD20" s="3" t="str">
        <f t="shared" si="5"/>
        <v>R</v>
      </c>
    </row>
    <row r="21" spans="1:56" x14ac:dyDescent="0.45">
      <c r="A21" s="3">
        <v>20</v>
      </c>
      <c r="B21" s="4">
        <v>23</v>
      </c>
      <c r="C21" s="5" t="s">
        <v>47</v>
      </c>
      <c r="D21" s="3"/>
      <c r="G21" s="3" t="s">
        <v>52</v>
      </c>
      <c r="H21" s="3" t="s">
        <v>13</v>
      </c>
      <c r="I21" s="3" t="s">
        <v>13</v>
      </c>
      <c r="J21" s="3" t="str">
        <f t="shared" si="6"/>
        <v>C. GONZALEZ</v>
      </c>
      <c r="K21" s="3" t="str">
        <f t="shared" si="7"/>
        <v>GONZALEZ</v>
      </c>
      <c r="L21" s="3" t="str">
        <f t="shared" si="8"/>
        <v>GON</v>
      </c>
      <c r="M21" s="3" t="s">
        <v>50</v>
      </c>
      <c r="N21" s="3">
        <v>0</v>
      </c>
      <c r="O21" s="3">
        <v>0</v>
      </c>
      <c r="P21" s="3">
        <v>0</v>
      </c>
      <c r="Q21" s="3">
        <v>0</v>
      </c>
      <c r="U21" s="3"/>
      <c r="V21" s="3"/>
      <c r="W21" s="3"/>
      <c r="BB21" s="3" t="str">
        <f t="shared" si="0"/>
        <v xml:space="preserve">CARLOS </v>
      </c>
      <c r="BC21" s="3" t="str">
        <f t="shared" si="1"/>
        <v>GONZALEZ</v>
      </c>
      <c r="BD21" s="3" t="str">
        <f t="shared" si="5"/>
        <v>C</v>
      </c>
    </row>
    <row r="22" spans="1:56" x14ac:dyDescent="0.45">
      <c r="A22" s="3"/>
      <c r="B22" s="4"/>
      <c r="C22" s="5"/>
      <c r="D22" s="3"/>
      <c r="K22" s="3"/>
      <c r="N22" s="3"/>
      <c r="O22" s="3"/>
      <c r="P22" s="3"/>
      <c r="U22" s="3"/>
      <c r="V22" s="3"/>
      <c r="W22" s="3"/>
      <c r="BB22" s="3" t="e">
        <f t="shared" si="0"/>
        <v>#VALUE!</v>
      </c>
      <c r="BC22" s="3" t="e">
        <f t="shared" si="1"/>
        <v>#VALUE!</v>
      </c>
      <c r="BD22" s="3" t="str">
        <f t="shared" si="5"/>
        <v/>
      </c>
    </row>
    <row r="23" spans="1:56" x14ac:dyDescent="0.45">
      <c r="A23" s="3"/>
      <c r="B23" s="4"/>
      <c r="C23" s="5"/>
      <c r="D23" s="3"/>
      <c r="K23" s="3"/>
      <c r="N23" s="3"/>
      <c r="O23" s="3"/>
      <c r="P23" s="3"/>
      <c r="U23" s="3"/>
      <c r="V23" s="3"/>
      <c r="W23" s="3"/>
      <c r="BB23" s="3" t="e">
        <f t="shared" si="0"/>
        <v>#VALUE!</v>
      </c>
      <c r="BC23" s="3" t="e">
        <f t="shared" si="1"/>
        <v>#VALUE!</v>
      </c>
      <c r="BD23" s="3" t="str">
        <f t="shared" si="5"/>
        <v/>
      </c>
    </row>
    <row r="24" spans="1:56" x14ac:dyDescent="0.45">
      <c r="A24" s="3"/>
      <c r="B24" s="4"/>
      <c r="D24" s="3"/>
      <c r="K24" s="3"/>
      <c r="N24" s="3"/>
      <c r="O24" s="3"/>
      <c r="P24" s="3"/>
      <c r="U24" s="3"/>
      <c r="V24" s="3"/>
      <c r="W24" s="3"/>
      <c r="BB24" s="3" t="e">
        <f t="shared" si="0"/>
        <v>#VALUE!</v>
      </c>
      <c r="BC24" s="3" t="e">
        <f t="shared" si="1"/>
        <v>#VALUE!</v>
      </c>
      <c r="BD24" s="3" t="str">
        <f t="shared" si="5"/>
        <v/>
      </c>
    </row>
    <row r="25" spans="1:56" x14ac:dyDescent="0.45">
      <c r="A25" s="3"/>
      <c r="B25" s="4"/>
      <c r="D25" s="3"/>
      <c r="K25" s="3"/>
      <c r="N25" s="3"/>
      <c r="O25" s="3"/>
      <c r="P25" s="3"/>
      <c r="U25" s="3"/>
      <c r="V25" s="3"/>
      <c r="W25" s="3"/>
      <c r="BB25" s="3" t="e">
        <f t="shared" si="0"/>
        <v>#VALUE!</v>
      </c>
      <c r="BC25" s="3" t="e">
        <f t="shared" si="1"/>
        <v>#VALUE!</v>
      </c>
      <c r="BD25" s="3" t="str">
        <f t="shared" si="5"/>
        <v/>
      </c>
    </row>
    <row r="26" spans="1:56" x14ac:dyDescent="0.45">
      <c r="A26" s="3"/>
      <c r="B26" s="4"/>
      <c r="D26" s="3"/>
      <c r="K26" s="3"/>
      <c r="N26" s="3"/>
      <c r="O26" s="3"/>
      <c r="P26" s="3"/>
      <c r="U26" s="3"/>
      <c r="V26" s="3"/>
      <c r="W26" s="3"/>
      <c r="BB26" s="3" t="e">
        <f t="shared" si="0"/>
        <v>#VALUE!</v>
      </c>
      <c r="BC26" s="3" t="e">
        <f t="shared" si="1"/>
        <v>#VALUE!</v>
      </c>
      <c r="BD26" s="3" t="str">
        <f t="shared" si="5"/>
        <v/>
      </c>
    </row>
    <row r="27" spans="1:56" x14ac:dyDescent="0.45">
      <c r="A27" s="3"/>
      <c r="B27" s="4"/>
      <c r="D27" s="3"/>
      <c r="K27" s="3"/>
      <c r="N27" s="3"/>
      <c r="O27" s="3"/>
      <c r="P27" s="3"/>
      <c r="U27" s="3"/>
      <c r="V27" s="3"/>
      <c r="W27" s="3"/>
      <c r="BB27" s="3" t="e">
        <f t="shared" si="0"/>
        <v>#VALUE!</v>
      </c>
      <c r="BC27" s="3" t="e">
        <f t="shared" si="1"/>
        <v>#VALUE!</v>
      </c>
      <c r="BD27" s="3" t="str">
        <f t="shared" si="5"/>
        <v/>
      </c>
    </row>
    <row r="28" spans="1:56" x14ac:dyDescent="0.45">
      <c r="A28" s="3"/>
      <c r="B28" s="4"/>
      <c r="D28" s="3"/>
      <c r="K28" s="3"/>
      <c r="N28" s="3"/>
      <c r="O28" s="3"/>
      <c r="P28" s="3"/>
      <c r="U28" s="3"/>
      <c r="V28" s="3"/>
      <c r="W28" s="3"/>
      <c r="BB28" s="3" t="e">
        <f t="shared" si="0"/>
        <v>#VALUE!</v>
      </c>
      <c r="BC28" s="3" t="e">
        <f t="shared" si="1"/>
        <v>#VALUE!</v>
      </c>
      <c r="BD28" s="3" t="str">
        <f t="shared" si="5"/>
        <v/>
      </c>
    </row>
    <row r="29" spans="1:56" x14ac:dyDescent="0.45">
      <c r="A29" s="3"/>
      <c r="B29" s="4"/>
      <c r="D29" s="3"/>
      <c r="K29" s="3"/>
      <c r="N29" s="3"/>
      <c r="O29" s="3"/>
      <c r="P29" s="3"/>
      <c r="U29" s="3"/>
      <c r="V29" s="3"/>
      <c r="W29" s="3"/>
      <c r="BB29" s="3" t="e">
        <f>MID(C29,1,SEARCH(" ",C29,1))</f>
        <v>#VALUE!</v>
      </c>
      <c r="BC29" s="3" t="e">
        <f>RIGHT(C29,LEN(C29)-FIND(" ",C29))</f>
        <v>#VALUE!</v>
      </c>
      <c r="BD29" s="3" t="str">
        <f>LEFT(C29,1)</f>
        <v/>
      </c>
    </row>
    <row r="30" spans="1:56" x14ac:dyDescent="0.45">
      <c r="A30" s="3"/>
      <c r="B30" s="4"/>
      <c r="D30" s="3"/>
      <c r="K30" s="3"/>
      <c r="N30" s="3"/>
      <c r="O30" s="3"/>
      <c r="P30" s="3"/>
      <c r="U30" s="3"/>
      <c r="V30" s="3"/>
      <c r="W30" s="3"/>
      <c r="BB30" s="3" t="e">
        <f>MID(C30,1,SEARCH(" ",C30,1))</f>
        <v>#VALUE!</v>
      </c>
      <c r="BC30" s="3" t="e">
        <f>RIGHT(C30,LEN(C30)-FIND(" ",C30))</f>
        <v>#VALUE!</v>
      </c>
      <c r="BD30" s="3" t="str">
        <f>LEFT(C30,1)</f>
        <v/>
      </c>
    </row>
    <row r="31" spans="1:56" x14ac:dyDescent="0.45">
      <c r="A31" s="3"/>
      <c r="B31" s="4"/>
      <c r="D31" s="3"/>
      <c r="K31" s="3"/>
      <c r="N31" s="3"/>
      <c r="O31" s="3"/>
      <c r="P31" s="3"/>
      <c r="U31" s="3"/>
      <c r="V31" s="3"/>
      <c r="W31" s="3"/>
      <c r="BB31" s="3" t="e">
        <f>MID(C31,1,SEARCH(" ",C31,1))</f>
        <v>#VALUE!</v>
      </c>
      <c r="BC31" s="3" t="e">
        <f>RIGHT(C31,LEN(C31)-FIND(" ",C31))</f>
        <v>#VALUE!</v>
      </c>
      <c r="BD31" s="3" t="str">
        <f>LEFT(C31,1)</f>
        <v/>
      </c>
    </row>
    <row r="32" spans="1:56" x14ac:dyDescent="0.45">
      <c r="A32" s="3"/>
      <c r="B32" s="4"/>
      <c r="D32" s="3"/>
      <c r="K32" s="3"/>
      <c r="N32" s="3"/>
      <c r="O32" s="3"/>
      <c r="P32" s="3"/>
      <c r="U32" s="3"/>
      <c r="V32" s="3"/>
      <c r="W32" s="3"/>
      <c r="BB32" s="3" t="e">
        <f>MID(C32,1,SEARCH(" ",C32,1))</f>
        <v>#VALUE!</v>
      </c>
      <c r="BC32" s="3" t="e">
        <f>RIGHT(C32,LEN(C32)-FIND(" ",C32))</f>
        <v>#VALUE!</v>
      </c>
      <c r="BD32" s="3" t="str">
        <f>LEFT(C32,1)</f>
        <v/>
      </c>
    </row>
    <row r="33" spans="1:56" x14ac:dyDescent="0.45">
      <c r="A33" s="3"/>
      <c r="B33" s="4"/>
      <c r="D33" s="3"/>
      <c r="K33" s="3"/>
      <c r="N33" s="3"/>
      <c r="O33" s="3"/>
      <c r="P33" s="3"/>
      <c r="U33" s="3"/>
      <c r="V33" s="3"/>
      <c r="W33" s="3"/>
      <c r="BB33" s="3" t="e">
        <f>MID(C33,1,SEARCH(" ",C33,1))</f>
        <v>#VALUE!</v>
      </c>
      <c r="BC33" s="3" t="e">
        <f>RIGHT(C33,LEN(C33)-FIND(" ",C33))</f>
        <v>#VALUE!</v>
      </c>
      <c r="BD33" s="3" t="str">
        <f>LEFT(C33,1)</f>
        <v/>
      </c>
    </row>
    <row r="34" spans="1:56" x14ac:dyDescent="0.45">
      <c r="A34" s="3"/>
      <c r="B34" s="4"/>
      <c r="D34" s="3"/>
      <c r="K34" s="3"/>
      <c r="N34" s="3"/>
      <c r="O34" s="3"/>
      <c r="P34" s="3"/>
      <c r="U34" s="3"/>
      <c r="V34" s="3"/>
      <c r="W34" s="3"/>
    </row>
    <row r="35" spans="1:56" x14ac:dyDescent="0.45">
      <c r="A35" s="3"/>
      <c r="B35" s="4"/>
      <c r="D35" s="3"/>
      <c r="K35" s="3"/>
      <c r="N35" s="3"/>
      <c r="O35" s="3"/>
      <c r="P35" s="3"/>
      <c r="U35" s="3"/>
      <c r="V35" s="3"/>
      <c r="W35" s="3"/>
    </row>
    <row r="36" spans="1:56" x14ac:dyDescent="0.45">
      <c r="A36" s="3"/>
      <c r="B36" s="3"/>
      <c r="D36" s="3"/>
      <c r="K36" s="3"/>
      <c r="N36" s="3"/>
      <c r="O36" s="3"/>
      <c r="P36" s="3"/>
      <c r="U36" s="3"/>
      <c r="V36" s="3"/>
      <c r="W36" s="3"/>
    </row>
    <row r="37" spans="1:56" x14ac:dyDescent="0.45">
      <c r="A37" s="3"/>
      <c r="B37" s="3"/>
      <c r="D37" s="3"/>
      <c r="K37" s="3"/>
      <c r="N37" s="3"/>
      <c r="O37" s="3"/>
      <c r="P37" s="3"/>
      <c r="U37" s="3"/>
      <c r="V37" s="3"/>
      <c r="W37" s="3"/>
    </row>
    <row r="38" spans="1:56" x14ac:dyDescent="0.45">
      <c r="A38" s="3"/>
      <c r="B38" s="3"/>
      <c r="D38" s="3"/>
      <c r="K38" s="3"/>
      <c r="N38" s="3"/>
      <c r="O38" s="3"/>
      <c r="P38" s="3"/>
      <c r="U38" s="3"/>
      <c r="V38" s="3"/>
      <c r="W38" s="3"/>
    </row>
    <row r="39" spans="1:56" x14ac:dyDescent="0.45">
      <c r="A39" s="3"/>
      <c r="B39" s="3"/>
      <c r="D39" s="3"/>
      <c r="K39" s="3"/>
      <c r="N39" s="3"/>
      <c r="O39" s="3"/>
      <c r="P39" s="3"/>
      <c r="U39" s="3"/>
      <c r="V39" s="3"/>
      <c r="W39" s="3"/>
    </row>
    <row r="40" spans="1:56" x14ac:dyDescent="0.45">
      <c r="A40" s="3"/>
      <c r="B40" s="3"/>
      <c r="D40" s="3"/>
      <c r="K40" s="3"/>
      <c r="N40" s="3"/>
      <c r="O40" s="3"/>
      <c r="P40" s="3"/>
      <c r="U40" s="3"/>
      <c r="V40" s="3"/>
      <c r="W40" s="3"/>
    </row>
    <row r="41" spans="1:56" x14ac:dyDescent="0.45">
      <c r="A41" s="3"/>
      <c r="B41" s="3"/>
      <c r="D41" s="3"/>
      <c r="K41" s="3"/>
      <c r="N41" s="3"/>
      <c r="O41" s="3"/>
      <c r="P41" s="3"/>
      <c r="U41" s="3"/>
      <c r="V41" s="3"/>
      <c r="W41" s="3"/>
    </row>
    <row r="42" spans="1:56" x14ac:dyDescent="0.45">
      <c r="A42" s="3"/>
      <c r="B42" s="3"/>
      <c r="D42" s="3"/>
      <c r="K42" s="3"/>
      <c r="N42" s="3"/>
      <c r="O42" s="3"/>
      <c r="P42" s="3"/>
      <c r="U42" s="3"/>
      <c r="V42" s="3"/>
      <c r="W42" s="3"/>
    </row>
    <row r="43" spans="1:56" x14ac:dyDescent="0.45">
      <c r="A43" s="3"/>
      <c r="B43" s="3"/>
      <c r="D43" s="3"/>
      <c r="K43" s="3"/>
      <c r="N43" s="3"/>
      <c r="O43" s="3"/>
      <c r="P43" s="3"/>
      <c r="U43" s="3"/>
      <c r="V43" s="3"/>
      <c r="W43" s="3"/>
    </row>
    <row r="44" spans="1:56" x14ac:dyDescent="0.45">
      <c r="A44" s="3"/>
      <c r="B44" s="3"/>
      <c r="D44" s="3"/>
      <c r="K44" s="3"/>
      <c r="N44" s="3"/>
      <c r="O44" s="3"/>
      <c r="P44" s="3"/>
      <c r="U44" s="3"/>
      <c r="V44" s="3"/>
      <c r="W44" s="3"/>
    </row>
    <row r="45" spans="1:56" x14ac:dyDescent="0.45">
      <c r="A45" s="3"/>
      <c r="B45" s="3"/>
      <c r="D45" s="3"/>
      <c r="K45" s="3"/>
      <c r="N45" s="3"/>
      <c r="O45" s="3"/>
      <c r="P45" s="3"/>
      <c r="U45" s="3"/>
      <c r="V45" s="3"/>
      <c r="W45" s="3"/>
    </row>
    <row r="46" spans="1:56" x14ac:dyDescent="0.45">
      <c r="A46" s="3"/>
      <c r="B46" s="3"/>
      <c r="D46" s="3"/>
      <c r="K46" s="3"/>
      <c r="N46" s="3"/>
      <c r="O46" s="3"/>
      <c r="P46" s="3"/>
      <c r="U46" s="3"/>
      <c r="V46" s="3"/>
      <c r="W46" s="3"/>
    </row>
    <row r="47" spans="1:56" x14ac:dyDescent="0.45">
      <c r="A47" s="3"/>
      <c r="B47" s="3"/>
      <c r="D47" s="3"/>
      <c r="K47" s="3"/>
      <c r="N47" s="3"/>
      <c r="O47" s="3"/>
      <c r="P47" s="3"/>
      <c r="U47" s="3"/>
      <c r="V47" s="3"/>
      <c r="W47" s="3"/>
    </row>
    <row r="48" spans="1:56" x14ac:dyDescent="0.45">
      <c r="A48" s="3"/>
      <c r="B48" s="3"/>
      <c r="D48" s="3"/>
      <c r="K48" s="3"/>
      <c r="N48" s="3"/>
      <c r="O48" s="3"/>
      <c r="P48" s="3"/>
      <c r="U48" s="3"/>
      <c r="V48" s="3"/>
      <c r="W48" s="3"/>
    </row>
    <row r="49" s="3" customFormat="1" x14ac:dyDescent="0.45"/>
    <row r="50" s="3" customFormat="1" x14ac:dyDescent="0.45"/>
    <row r="51" s="3" customFormat="1" x14ac:dyDescent="0.45"/>
    <row r="52" s="3" customFormat="1" x14ac:dyDescent="0.45"/>
    <row r="53" s="3" customFormat="1" x14ac:dyDescent="0.45"/>
    <row r="54" s="3" customFormat="1" x14ac:dyDescent="0.45"/>
    <row r="55" s="3" customFormat="1" x14ac:dyDescent="0.45"/>
    <row r="56" s="3" customFormat="1" x14ac:dyDescent="0.45"/>
    <row r="57" s="3" customFormat="1" x14ac:dyDescent="0.45"/>
    <row r="58" s="3" customFormat="1" x14ac:dyDescent="0.45"/>
    <row r="59" s="3" customFormat="1" x14ac:dyDescent="0.45"/>
    <row r="60" s="3" customFormat="1" x14ac:dyDescent="0.45"/>
    <row r="61" s="3" customFormat="1" x14ac:dyDescent="0.45"/>
    <row r="62" s="3" customFormat="1" x14ac:dyDescent="0.45"/>
    <row r="63" s="3" customFormat="1" x14ac:dyDescent="0.45"/>
    <row r="64" s="3" customFormat="1" x14ac:dyDescent="0.45"/>
    <row r="65" s="3" customFormat="1" x14ac:dyDescent="0.45"/>
    <row r="66" s="3" customFormat="1" x14ac:dyDescent="0.45"/>
    <row r="67" s="3" customFormat="1" x14ac:dyDescent="0.45"/>
    <row r="68" s="3" customFormat="1" x14ac:dyDescent="0.45"/>
    <row r="69" s="3" customFormat="1" x14ac:dyDescent="0.45"/>
    <row r="70" s="3" customFormat="1" x14ac:dyDescent="0.45"/>
    <row r="71" s="3" customFormat="1" x14ac:dyDescent="0.45"/>
    <row r="72" s="3" customFormat="1" x14ac:dyDescent="0.45"/>
    <row r="73" s="3" customFormat="1" x14ac:dyDescent="0.45"/>
    <row r="74" s="3" customFormat="1" x14ac:dyDescent="0.45"/>
    <row r="75" s="3" customFormat="1" x14ac:dyDescent="0.45"/>
    <row r="76" s="3" customFormat="1" x14ac:dyDescent="0.45"/>
    <row r="77" s="3" customFormat="1" x14ac:dyDescent="0.45"/>
    <row r="78" s="3" customFormat="1" x14ac:dyDescent="0.45"/>
    <row r="79" s="3" customFormat="1" x14ac:dyDescent="0.45"/>
    <row r="80" s="3" customFormat="1" x14ac:dyDescent="0.45"/>
    <row r="81" s="3" customFormat="1" x14ac:dyDescent="0.45"/>
    <row r="82" s="3" customFormat="1" x14ac:dyDescent="0.45"/>
    <row r="83" s="3" customFormat="1" x14ac:dyDescent="0.45"/>
    <row r="84" s="3" customFormat="1" x14ac:dyDescent="0.45"/>
    <row r="85" s="3" customFormat="1" x14ac:dyDescent="0.45"/>
    <row r="86" s="3" customFormat="1" x14ac:dyDescent="0.45"/>
    <row r="87" s="3" customFormat="1" x14ac:dyDescent="0.45"/>
    <row r="88" s="3" customFormat="1" x14ac:dyDescent="0.45"/>
    <row r="89" s="3" customFormat="1" x14ac:dyDescent="0.45"/>
    <row r="90" s="3" customFormat="1" x14ac:dyDescent="0.45"/>
    <row r="91" s="3" customFormat="1" x14ac:dyDescent="0.45"/>
    <row r="92" s="3" customFormat="1" x14ac:dyDescent="0.45"/>
    <row r="93" s="3" customFormat="1" x14ac:dyDescent="0.45"/>
    <row r="94" s="3" customFormat="1" x14ac:dyDescent="0.45"/>
    <row r="95" s="3" customFormat="1" x14ac:dyDescent="0.45"/>
    <row r="96" s="3" customFormat="1" x14ac:dyDescent="0.45"/>
    <row r="97" s="3" customFormat="1" x14ac:dyDescent="0.45"/>
    <row r="98" s="3" customFormat="1" x14ac:dyDescent="0.45"/>
    <row r="99" s="3" customFormat="1" x14ac:dyDescent="0.45"/>
    <row r="100" s="3" customFormat="1" x14ac:dyDescent="0.45"/>
    <row r="101" s="3" customFormat="1" x14ac:dyDescent="0.45"/>
    <row r="102" s="3" customFormat="1" x14ac:dyDescent="0.45"/>
    <row r="103" s="3" customFormat="1" x14ac:dyDescent="0.45"/>
    <row r="104" s="3" customFormat="1" x14ac:dyDescent="0.45"/>
    <row r="105" s="3" customFormat="1" x14ac:dyDescent="0.45"/>
    <row r="106" s="3" customFormat="1" x14ac:dyDescent="0.45"/>
    <row r="107" s="3" customFormat="1" x14ac:dyDescent="0.45"/>
    <row r="108" s="3" customFormat="1" x14ac:dyDescent="0.45"/>
    <row r="109" s="3" customFormat="1" x14ac:dyDescent="0.45"/>
    <row r="110" s="3" customFormat="1" x14ac:dyDescent="0.45"/>
    <row r="111" s="3" customFormat="1" x14ac:dyDescent="0.45"/>
    <row r="112" s="3" customFormat="1" x14ac:dyDescent="0.45"/>
    <row r="113" s="3" customFormat="1" x14ac:dyDescent="0.45"/>
    <row r="114" s="3" customFormat="1" x14ac:dyDescent="0.45"/>
    <row r="115" s="3" customFormat="1" x14ac:dyDescent="0.45"/>
    <row r="116" s="3" customFormat="1" x14ac:dyDescent="0.45"/>
    <row r="117" s="3" customFormat="1" x14ac:dyDescent="0.45"/>
    <row r="118" s="3" customFormat="1" x14ac:dyDescent="0.45"/>
    <row r="119" s="3" customFormat="1" x14ac:dyDescent="0.45"/>
    <row r="120" s="3" customFormat="1" x14ac:dyDescent="0.45"/>
    <row r="121" s="3" customFormat="1" x14ac:dyDescent="0.45"/>
    <row r="122" s="3" customFormat="1" x14ac:dyDescent="0.45"/>
    <row r="123" s="3" customFormat="1" x14ac:dyDescent="0.45"/>
    <row r="124" s="3" customFormat="1" x14ac:dyDescent="0.45"/>
    <row r="125" s="3" customFormat="1" x14ac:dyDescent="0.45"/>
    <row r="126" s="3" customFormat="1" x14ac:dyDescent="0.45"/>
    <row r="127" s="3" customFormat="1" x14ac:dyDescent="0.45"/>
    <row r="128" s="3" customFormat="1" x14ac:dyDescent="0.45"/>
    <row r="129" s="3" customFormat="1" x14ac:dyDescent="0.45"/>
    <row r="130" s="3" customFormat="1" x14ac:dyDescent="0.45"/>
    <row r="131" s="3" customFormat="1" x14ac:dyDescent="0.45"/>
    <row r="132" s="3" customFormat="1" x14ac:dyDescent="0.45"/>
    <row r="133" s="3" customFormat="1" x14ac:dyDescent="0.45"/>
    <row r="134" s="3" customFormat="1" x14ac:dyDescent="0.45"/>
    <row r="135" s="3" customFormat="1" x14ac:dyDescent="0.45"/>
    <row r="136" s="3" customFormat="1" x14ac:dyDescent="0.45"/>
    <row r="137" s="3" customFormat="1" x14ac:dyDescent="0.45"/>
    <row r="138" s="3" customFormat="1" x14ac:dyDescent="0.45"/>
    <row r="139" s="3" customFormat="1" x14ac:dyDescent="0.45"/>
    <row r="140" s="3" customFormat="1" x14ac:dyDescent="0.45"/>
    <row r="141" s="3" customFormat="1" x14ac:dyDescent="0.45"/>
    <row r="142" s="3" customFormat="1" x14ac:dyDescent="0.45"/>
    <row r="143" s="3" customFormat="1" x14ac:dyDescent="0.45"/>
    <row r="144" s="3" customFormat="1" x14ac:dyDescent="0.45"/>
    <row r="145" s="3" customFormat="1" x14ac:dyDescent="0.45"/>
    <row r="146" s="3" customFormat="1" x14ac:dyDescent="0.45"/>
    <row r="147" s="3" customFormat="1" x14ac:dyDescent="0.45"/>
    <row r="148" s="3" customFormat="1" x14ac:dyDescent="0.45"/>
    <row r="149" s="3" customFormat="1" x14ac:dyDescent="0.45"/>
    <row r="150" s="3" customFormat="1" x14ac:dyDescent="0.45"/>
    <row r="151" s="3" customFormat="1" x14ac:dyDescent="0.45"/>
    <row r="152" s="3" customFormat="1" x14ac:dyDescent="0.45"/>
    <row r="153" s="3" customFormat="1" x14ac:dyDescent="0.45"/>
    <row r="154" s="3" customFormat="1" x14ac:dyDescent="0.45"/>
    <row r="155" s="3" customFormat="1" x14ac:dyDescent="0.45"/>
    <row r="156" s="3" customFormat="1" x14ac:dyDescent="0.45"/>
    <row r="157" s="3" customFormat="1" x14ac:dyDescent="0.45"/>
    <row r="158" s="3" customFormat="1" x14ac:dyDescent="0.45"/>
    <row r="159" s="3" customFormat="1" x14ac:dyDescent="0.45"/>
    <row r="160" s="3" customFormat="1" x14ac:dyDescent="0.45"/>
    <row r="161" s="3" customFormat="1" x14ac:dyDescent="0.45"/>
    <row r="162" s="3" customFormat="1" x14ac:dyDescent="0.45"/>
    <row r="163" s="3" customFormat="1" x14ac:dyDescent="0.45"/>
    <row r="164" s="3" customFormat="1" x14ac:dyDescent="0.45"/>
    <row r="165" s="3" customFormat="1" x14ac:dyDescent="0.45"/>
    <row r="166" s="3" customFormat="1" x14ac:dyDescent="0.45"/>
    <row r="167" s="3" customFormat="1" x14ac:dyDescent="0.45"/>
    <row r="168" s="3" customFormat="1" x14ac:dyDescent="0.45"/>
    <row r="169" s="3" customFormat="1" x14ac:dyDescent="0.45"/>
    <row r="170" s="3" customFormat="1" x14ac:dyDescent="0.45"/>
    <row r="171" s="3" customFormat="1" x14ac:dyDescent="0.45"/>
    <row r="172" s="3" customFormat="1" x14ac:dyDescent="0.45"/>
    <row r="173" s="3" customFormat="1" x14ac:dyDescent="0.45"/>
    <row r="174" s="3" customFormat="1" x14ac:dyDescent="0.45"/>
    <row r="175" s="3" customFormat="1" x14ac:dyDescent="0.45"/>
    <row r="176" s="3" customFormat="1" x14ac:dyDescent="0.45"/>
    <row r="177" s="3" customFormat="1" x14ac:dyDescent="0.45"/>
    <row r="178" s="3" customFormat="1" x14ac:dyDescent="0.45"/>
    <row r="179" s="3" customFormat="1" x14ac:dyDescent="0.45"/>
    <row r="180" s="3" customFormat="1" x14ac:dyDescent="0.45"/>
    <row r="181" s="3" customFormat="1" x14ac:dyDescent="0.45"/>
    <row r="182" s="3" customFormat="1" x14ac:dyDescent="0.45"/>
    <row r="183" s="3" customFormat="1" x14ac:dyDescent="0.45"/>
    <row r="184" s="3" customFormat="1" x14ac:dyDescent="0.45"/>
    <row r="185" s="3" customFormat="1" x14ac:dyDescent="0.45"/>
    <row r="186" s="3" customFormat="1" x14ac:dyDescent="0.45"/>
    <row r="187" s="3" customFormat="1" x14ac:dyDescent="0.45"/>
    <row r="188" s="3" customFormat="1" x14ac:dyDescent="0.45"/>
    <row r="189" s="3" customFormat="1" x14ac:dyDescent="0.45"/>
    <row r="190" s="3" customFormat="1" x14ac:dyDescent="0.45"/>
    <row r="191" s="3" customFormat="1" x14ac:dyDescent="0.45"/>
    <row r="192" s="3" customFormat="1" x14ac:dyDescent="0.45"/>
    <row r="193" s="3" customFormat="1" x14ac:dyDescent="0.45"/>
    <row r="194" s="3" customFormat="1" x14ac:dyDescent="0.45"/>
    <row r="195" s="3" customFormat="1" x14ac:dyDescent="0.45"/>
    <row r="196" s="3" customFormat="1" x14ac:dyDescent="0.45"/>
    <row r="197" s="3" customFormat="1" x14ac:dyDescent="0.45"/>
    <row r="198" s="3" customFormat="1" x14ac:dyDescent="0.45"/>
    <row r="199" s="3" customFormat="1" x14ac:dyDescent="0.45"/>
    <row r="200" s="3" customFormat="1" x14ac:dyDescent="0.45"/>
    <row r="201" s="3" customFormat="1" x14ac:dyDescent="0.45"/>
    <row r="202" s="3" customFormat="1" x14ac:dyDescent="0.45"/>
    <row r="203" s="3" customFormat="1" x14ac:dyDescent="0.45"/>
    <row r="204" s="3" customFormat="1" x14ac:dyDescent="0.45"/>
    <row r="205" s="3" customFormat="1" x14ac:dyDescent="0.45"/>
    <row r="206" s="3" customFormat="1" x14ac:dyDescent="0.45"/>
    <row r="207" s="3" customFormat="1" x14ac:dyDescent="0.45"/>
    <row r="208" s="3" customFormat="1" x14ac:dyDescent="0.45"/>
    <row r="209" s="3" customFormat="1" x14ac:dyDescent="0.45"/>
    <row r="210" s="3" customFormat="1" x14ac:dyDescent="0.45"/>
    <row r="211" s="3" customFormat="1" x14ac:dyDescent="0.45"/>
    <row r="212" s="3" customFormat="1" x14ac:dyDescent="0.45"/>
    <row r="213" s="3" customFormat="1" x14ac:dyDescent="0.45"/>
    <row r="214" s="3" customFormat="1" x14ac:dyDescent="0.45"/>
    <row r="215" s="3" customFormat="1" x14ac:dyDescent="0.45"/>
    <row r="216" s="3" customFormat="1" x14ac:dyDescent="0.45"/>
    <row r="217" s="3" customFormat="1" x14ac:dyDescent="0.45"/>
    <row r="218" s="3" customFormat="1" x14ac:dyDescent="0.45"/>
    <row r="219" s="3" customFormat="1" x14ac:dyDescent="0.45"/>
    <row r="220" s="3" customFormat="1" x14ac:dyDescent="0.45"/>
    <row r="221" s="3" customFormat="1" x14ac:dyDescent="0.45"/>
    <row r="222" s="3" customFormat="1" x14ac:dyDescent="0.45"/>
    <row r="223" s="3" customFormat="1" x14ac:dyDescent="0.45"/>
    <row r="224" s="3" customFormat="1" x14ac:dyDescent="0.45"/>
    <row r="225" s="3" customFormat="1" x14ac:dyDescent="0.45"/>
    <row r="226" s="3" customFormat="1" x14ac:dyDescent="0.45"/>
    <row r="227" s="3" customFormat="1" x14ac:dyDescent="0.45"/>
    <row r="228" s="3" customFormat="1" x14ac:dyDescent="0.45"/>
    <row r="229" s="3" customFormat="1" x14ac:dyDescent="0.45"/>
    <row r="230" s="3" customFormat="1" x14ac:dyDescent="0.45"/>
    <row r="231" s="3" customFormat="1" x14ac:dyDescent="0.45"/>
    <row r="232" s="3" customFormat="1" x14ac:dyDescent="0.45"/>
    <row r="233" s="3" customFormat="1" x14ac:dyDescent="0.45"/>
    <row r="234" s="3" customFormat="1" x14ac:dyDescent="0.45"/>
    <row r="235" s="3" customFormat="1" x14ac:dyDescent="0.45"/>
    <row r="236" s="3" customFormat="1" x14ac:dyDescent="0.45"/>
    <row r="237" s="3" customFormat="1" x14ac:dyDescent="0.45"/>
    <row r="238" s="3" customFormat="1" x14ac:dyDescent="0.45"/>
    <row r="239" s="3" customFormat="1" x14ac:dyDescent="0.45"/>
    <row r="240" s="3" customFormat="1" x14ac:dyDescent="0.45"/>
    <row r="241" s="3" customFormat="1" x14ac:dyDescent="0.45"/>
    <row r="242" s="3" customFormat="1" x14ac:dyDescent="0.45"/>
    <row r="243" s="3" customFormat="1" x14ac:dyDescent="0.45"/>
    <row r="244" s="3" customFormat="1" x14ac:dyDescent="0.45"/>
    <row r="245" s="3" customFormat="1" x14ac:dyDescent="0.45"/>
    <row r="246" s="3" customFormat="1" x14ac:dyDescent="0.45"/>
    <row r="247" s="3" customFormat="1" x14ac:dyDescent="0.45"/>
    <row r="248" s="3" customFormat="1" x14ac:dyDescent="0.45"/>
    <row r="249" s="3" customFormat="1" x14ac:dyDescent="0.45"/>
    <row r="250" s="3" customFormat="1" x14ac:dyDescent="0.45"/>
    <row r="251" s="3" customFormat="1" x14ac:dyDescent="0.45"/>
    <row r="252" s="3" customFormat="1" x14ac:dyDescent="0.45"/>
    <row r="253" s="3" customFormat="1" x14ac:dyDescent="0.45"/>
    <row r="254" s="3" customFormat="1" x14ac:dyDescent="0.45"/>
    <row r="255" s="3" customFormat="1" x14ac:dyDescent="0.45"/>
    <row r="256" s="3" customFormat="1" x14ac:dyDescent="0.45"/>
    <row r="257" s="3" customFormat="1" x14ac:dyDescent="0.45"/>
    <row r="258" s="3" customFormat="1" x14ac:dyDescent="0.45"/>
    <row r="259" s="3" customFormat="1" x14ac:dyDescent="0.45"/>
    <row r="260" s="3" customFormat="1" x14ac:dyDescent="0.45"/>
    <row r="261" s="3" customFormat="1" x14ac:dyDescent="0.45"/>
    <row r="262" s="3" customFormat="1" x14ac:dyDescent="0.45"/>
    <row r="263" s="3" customFormat="1" x14ac:dyDescent="0.45"/>
    <row r="264" s="3" customFormat="1" x14ac:dyDescent="0.45"/>
    <row r="265" s="3" customFormat="1" x14ac:dyDescent="0.45"/>
    <row r="266" s="3" customFormat="1" x14ac:dyDescent="0.45"/>
    <row r="267" s="3" customFormat="1" x14ac:dyDescent="0.45"/>
    <row r="268" s="3" customFormat="1" x14ac:dyDescent="0.45"/>
    <row r="269" s="3" customFormat="1" x14ac:dyDescent="0.45"/>
    <row r="270" s="3" customFormat="1" x14ac:dyDescent="0.45"/>
    <row r="271" s="3" customFormat="1" x14ac:dyDescent="0.45"/>
    <row r="272" s="3" customFormat="1" x14ac:dyDescent="0.45"/>
    <row r="273" s="3" customFormat="1" x14ac:dyDescent="0.45"/>
    <row r="274" s="3" customFormat="1" x14ac:dyDescent="0.45"/>
    <row r="275" s="3" customFormat="1" x14ac:dyDescent="0.45"/>
    <row r="276" s="3" customFormat="1" x14ac:dyDescent="0.45"/>
    <row r="277" s="3" customFormat="1" x14ac:dyDescent="0.45"/>
    <row r="278" s="3" customFormat="1" x14ac:dyDescent="0.45"/>
    <row r="279" s="3" customFormat="1" x14ac:dyDescent="0.45"/>
    <row r="280" s="3" customFormat="1" x14ac:dyDescent="0.45"/>
    <row r="281" s="3" customFormat="1" x14ac:dyDescent="0.45"/>
    <row r="282" s="3" customFormat="1" x14ac:dyDescent="0.45"/>
    <row r="283" s="3" customFormat="1" x14ac:dyDescent="0.45"/>
    <row r="284" s="3" customFormat="1" x14ac:dyDescent="0.45"/>
    <row r="285" s="3" customFormat="1" x14ac:dyDescent="0.45"/>
    <row r="286" s="3" customFormat="1" x14ac:dyDescent="0.45"/>
    <row r="287" s="3" customFormat="1" x14ac:dyDescent="0.45"/>
    <row r="288" s="3" customFormat="1" x14ac:dyDescent="0.45"/>
    <row r="289" s="3" customFormat="1" x14ac:dyDescent="0.45"/>
    <row r="290" s="3" customFormat="1" x14ac:dyDescent="0.45"/>
    <row r="291" s="3" customFormat="1" x14ac:dyDescent="0.45"/>
    <row r="292" s="3" customFormat="1" x14ac:dyDescent="0.45"/>
    <row r="293" s="3" customFormat="1" x14ac:dyDescent="0.45"/>
    <row r="294" s="3" customFormat="1" x14ac:dyDescent="0.45"/>
    <row r="295" s="3" customFormat="1" x14ac:dyDescent="0.45"/>
    <row r="296" s="3" customFormat="1" x14ac:dyDescent="0.45"/>
    <row r="297" s="3" customFormat="1" x14ac:dyDescent="0.45"/>
    <row r="298" s="3" customFormat="1" x14ac:dyDescent="0.45"/>
    <row r="299" s="3" customFormat="1" x14ac:dyDescent="0.45"/>
    <row r="300" s="3" customFormat="1" x14ac:dyDescent="0.45"/>
    <row r="301" s="3" customFormat="1" x14ac:dyDescent="0.45"/>
    <row r="302" s="3" customFormat="1" x14ac:dyDescent="0.45"/>
    <row r="303" s="3" customFormat="1" x14ac:dyDescent="0.45"/>
    <row r="304" s="3" customFormat="1" x14ac:dyDescent="0.45"/>
    <row r="305" s="3" customFormat="1" x14ac:dyDescent="0.45"/>
    <row r="306" s="3" customFormat="1" x14ac:dyDescent="0.45"/>
    <row r="307" s="3" customFormat="1" x14ac:dyDescent="0.45"/>
    <row r="308" s="3" customFormat="1" x14ac:dyDescent="0.45"/>
    <row r="309" s="3" customFormat="1" x14ac:dyDescent="0.45"/>
    <row r="310" s="3" customFormat="1" x14ac:dyDescent="0.45"/>
    <row r="311" s="3" customFormat="1" x14ac:dyDescent="0.45"/>
    <row r="312" s="3" customFormat="1" x14ac:dyDescent="0.45"/>
    <row r="313" s="3" customFormat="1" x14ac:dyDescent="0.45"/>
    <row r="314" s="3" customFormat="1" x14ac:dyDescent="0.45"/>
    <row r="315" s="3" customFormat="1" x14ac:dyDescent="0.45"/>
    <row r="316" s="3" customFormat="1" x14ac:dyDescent="0.45"/>
    <row r="317" s="3" customFormat="1" x14ac:dyDescent="0.45"/>
    <row r="318" s="3" customFormat="1" x14ac:dyDescent="0.45"/>
    <row r="319" s="3" customFormat="1" x14ac:dyDescent="0.45"/>
    <row r="320" s="3" customFormat="1" x14ac:dyDescent="0.45"/>
    <row r="321" spans="1:23" x14ac:dyDescent="0.45">
      <c r="A321" s="3"/>
      <c r="B321" s="3"/>
      <c r="D321" s="3"/>
      <c r="K321" s="3"/>
      <c r="N321" s="3"/>
      <c r="O321" s="3"/>
      <c r="P321" s="3"/>
      <c r="U321" s="3"/>
      <c r="V321" s="3"/>
      <c r="W321" s="3"/>
    </row>
    <row r="322" spans="1:23" x14ac:dyDescent="0.45">
      <c r="A322" s="3"/>
      <c r="B322" s="3"/>
      <c r="D322" s="3"/>
      <c r="K322" s="3"/>
      <c r="N322" s="3"/>
      <c r="O322" s="3"/>
      <c r="P322" s="3"/>
      <c r="U322" s="3"/>
      <c r="V322" s="3"/>
      <c r="W322" s="3"/>
    </row>
    <row r="323" spans="1:23" x14ac:dyDescent="0.45">
      <c r="A323" s="3"/>
      <c r="B323" s="3"/>
      <c r="D323" s="3"/>
      <c r="K323" s="3"/>
      <c r="N323" s="3"/>
      <c r="O323" s="3"/>
      <c r="P323" s="3"/>
      <c r="U323" s="3"/>
      <c r="V323" s="3"/>
      <c r="W323" s="3"/>
    </row>
    <row r="324" spans="1:23" x14ac:dyDescent="0.45">
      <c r="A324" s="3"/>
      <c r="B324" s="3"/>
      <c r="D324" s="3"/>
      <c r="K324" s="3"/>
      <c r="N324" s="3"/>
      <c r="O324" s="3"/>
      <c r="P324" s="3"/>
      <c r="U324" s="3"/>
      <c r="V324" s="3"/>
      <c r="W324" s="3"/>
    </row>
    <row r="325" spans="1:23" x14ac:dyDescent="0.45">
      <c r="A325" s="3"/>
      <c r="B325" s="3"/>
      <c r="D325" s="3"/>
      <c r="K325" s="3"/>
      <c r="N325" s="3"/>
      <c r="O325" s="3"/>
      <c r="P325" s="3"/>
      <c r="U325" s="3"/>
      <c r="V325" s="3"/>
      <c r="W325" s="3"/>
    </row>
    <row r="326" spans="1:23" x14ac:dyDescent="0.45">
      <c r="N326" s="3"/>
      <c r="O326" s="3"/>
      <c r="P326" s="3"/>
      <c r="U326" s="3"/>
      <c r="V326" s="3"/>
      <c r="W326" s="3"/>
    </row>
    <row r="327" spans="1:23" x14ac:dyDescent="0.45">
      <c r="N327" s="3"/>
      <c r="O327" s="3"/>
      <c r="P327" s="3"/>
      <c r="U327" s="3"/>
      <c r="V327" s="3"/>
      <c r="W327" s="3"/>
    </row>
    <row r="328" spans="1:23" x14ac:dyDescent="0.45">
      <c r="N328" s="3"/>
      <c r="O328" s="3"/>
      <c r="P328" s="3"/>
      <c r="U328" s="3"/>
      <c r="V328" s="3"/>
      <c r="W328" s="3"/>
    </row>
    <row r="329" spans="1:23" x14ac:dyDescent="0.45">
      <c r="N329" s="3"/>
      <c r="O329" s="3"/>
      <c r="P329" s="3"/>
      <c r="U329" s="3"/>
      <c r="V329" s="3"/>
      <c r="W329" s="3"/>
    </row>
  </sheetData>
  <pageMargins left="0.7" right="0.7" top="0.75" bottom="0.75" header="0.3" footer="0.3"/>
  <pageSetup paperSize="2321" orientation="portrait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</dc:creator>
  <cp:lastModifiedBy>Jesus Fernandez</cp:lastModifiedBy>
  <dcterms:created xsi:type="dcterms:W3CDTF">2019-03-10T17:47:15Z</dcterms:created>
  <dcterms:modified xsi:type="dcterms:W3CDTF">2025-06-08T14:47:32Z</dcterms:modified>
</cp:coreProperties>
</file>