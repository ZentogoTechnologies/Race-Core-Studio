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sus Fernandez\Desktop\RacingApp\uploads\Drivers\"/>
    </mc:Choice>
  </mc:AlternateContent>
  <xr:revisionPtr revIDLastSave="0" documentId="13_ncr:1_{89EF6C04-F2FA-4E17-A33C-A5B89883B73F}" xr6:coauthVersionLast="47" xr6:coauthVersionMax="47" xr10:uidLastSave="{00000000-0000-0000-0000-000000000000}"/>
  <bookViews>
    <workbookView xWindow="-24690" yWindow="5685" windowWidth="21600" windowHeight="1098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33" i="1" l="1"/>
  <c r="BC33" i="1"/>
  <c r="BB33" i="1"/>
  <c r="BD32" i="1"/>
  <c r="BC32" i="1"/>
  <c r="BB32" i="1"/>
  <c r="BB29" i="1"/>
  <c r="BC29" i="1"/>
  <c r="BD29" i="1"/>
  <c r="BB30" i="1"/>
  <c r="BC30" i="1"/>
  <c r="BD30" i="1"/>
  <c r="BB31" i="1"/>
  <c r="BC31" i="1"/>
  <c r="BD31" i="1"/>
  <c r="BB3" i="1"/>
  <c r="BC3" i="1"/>
  <c r="K3" i="1" s="1"/>
  <c r="L3" i="1" s="1"/>
  <c r="BD3" i="1"/>
  <c r="BB4" i="1"/>
  <c r="BC4" i="1"/>
  <c r="K4" i="1" s="1"/>
  <c r="L4" i="1" s="1"/>
  <c r="BD4" i="1"/>
  <c r="BB5" i="1"/>
  <c r="BC5" i="1"/>
  <c r="K5" i="1" s="1"/>
  <c r="L5" i="1" s="1"/>
  <c r="BD5" i="1"/>
  <c r="BB6" i="1"/>
  <c r="BC6" i="1"/>
  <c r="K6" i="1" s="1"/>
  <c r="L6" i="1" s="1"/>
  <c r="BD6" i="1"/>
  <c r="BB7" i="1"/>
  <c r="BC7" i="1"/>
  <c r="K7" i="1" s="1"/>
  <c r="L7" i="1" s="1"/>
  <c r="BD7" i="1"/>
  <c r="BB8" i="1"/>
  <c r="BC8" i="1"/>
  <c r="K8" i="1" s="1"/>
  <c r="L8" i="1" s="1"/>
  <c r="BD8" i="1"/>
  <c r="BB9" i="1"/>
  <c r="BC9" i="1"/>
  <c r="K9" i="1" s="1"/>
  <c r="L9" i="1" s="1"/>
  <c r="BD9" i="1"/>
  <c r="BB10" i="1"/>
  <c r="BC10" i="1"/>
  <c r="BD10" i="1"/>
  <c r="BB11" i="1"/>
  <c r="BC11" i="1"/>
  <c r="K11" i="1" s="1"/>
  <c r="L11" i="1" s="1"/>
  <c r="BD11" i="1"/>
  <c r="BB12" i="1"/>
  <c r="BC12" i="1"/>
  <c r="BD12" i="1"/>
  <c r="BB13" i="1"/>
  <c r="BC13" i="1"/>
  <c r="BD13" i="1"/>
  <c r="BB14" i="1"/>
  <c r="BC14" i="1"/>
  <c r="BD14" i="1"/>
  <c r="BB15" i="1"/>
  <c r="BC15" i="1"/>
  <c r="BD15" i="1"/>
  <c r="BB16" i="1"/>
  <c r="BC16" i="1"/>
  <c r="BD16" i="1"/>
  <c r="BB17" i="1"/>
  <c r="BC17" i="1"/>
  <c r="BD17" i="1"/>
  <c r="BB18" i="1"/>
  <c r="BC18" i="1"/>
  <c r="BD18" i="1"/>
  <c r="BB19" i="1"/>
  <c r="BC19" i="1"/>
  <c r="BD19" i="1"/>
  <c r="BB20" i="1"/>
  <c r="BC20" i="1"/>
  <c r="BD20" i="1"/>
  <c r="BB21" i="1"/>
  <c r="BC21" i="1"/>
  <c r="BD21" i="1"/>
  <c r="BB22" i="1"/>
  <c r="BC22" i="1"/>
  <c r="BD22" i="1"/>
  <c r="BB23" i="1"/>
  <c r="BC23" i="1"/>
  <c r="BD23" i="1"/>
  <c r="BB24" i="1"/>
  <c r="BC24" i="1"/>
  <c r="BD24" i="1"/>
  <c r="BB25" i="1"/>
  <c r="BC25" i="1"/>
  <c r="BD25" i="1"/>
  <c r="BB26" i="1"/>
  <c r="BC26" i="1"/>
  <c r="BD26" i="1"/>
  <c r="BB27" i="1"/>
  <c r="BC27" i="1"/>
  <c r="BD27" i="1"/>
  <c r="BB28" i="1"/>
  <c r="BC28" i="1"/>
  <c r="BD28" i="1"/>
  <c r="BB2" i="1"/>
  <c r="BC2" i="1"/>
  <c r="K2" i="1" s="1"/>
  <c r="L2" i="1" s="1"/>
  <c r="BD2" i="1"/>
  <c r="J2" i="1" s="1"/>
  <c r="J7" i="1" l="1"/>
  <c r="J3" i="1"/>
  <c r="J8" i="1"/>
  <c r="J4" i="1"/>
  <c r="J10" i="1"/>
  <c r="J9" i="1"/>
  <c r="J5" i="1"/>
  <c r="J11" i="1"/>
  <c r="J6" i="1"/>
  <c r="K10" i="1"/>
  <c r="L10" i="1" s="1"/>
</calcChain>
</file>

<file path=xl/sharedStrings.xml><?xml version="1.0" encoding="utf-8"?>
<sst xmlns="http://schemas.openxmlformats.org/spreadsheetml/2006/main" count="106" uniqueCount="46">
  <si>
    <t>NRO</t>
  </si>
  <si>
    <t>FULL NAME</t>
  </si>
  <si>
    <t>MAKE</t>
  </si>
  <si>
    <t>TEAM</t>
  </si>
  <si>
    <t>NOMBRE</t>
  </si>
  <si>
    <t>APELLIDO</t>
  </si>
  <si>
    <t>SHORT</t>
  </si>
  <si>
    <t>CLASS</t>
  </si>
  <si>
    <t>PER</t>
  </si>
  <si>
    <t>NO USE</t>
  </si>
  <si>
    <t>NAT</t>
  </si>
  <si>
    <t>#FFFFFF</t>
  </si>
  <si>
    <t>#FF0000</t>
  </si>
  <si>
    <t>#FFFF00</t>
  </si>
  <si>
    <t>#0F0FF9</t>
  </si>
  <si>
    <t>#66FF33</t>
  </si>
  <si>
    <t>#5A5A5A</t>
  </si>
  <si>
    <t>#FFFF01</t>
  </si>
  <si>
    <t>#66FF34</t>
  </si>
  <si>
    <t>#FFFF02</t>
  </si>
  <si>
    <t>#66FF35</t>
  </si>
  <si>
    <t>LUIS RAMIREZ</t>
  </si>
  <si>
    <t>MARIO BARCENAS</t>
  </si>
  <si>
    <t>TCR</t>
  </si>
  <si>
    <t>CUPRA</t>
  </si>
  <si>
    <t>HYUNDAI</t>
  </si>
  <si>
    <t>HONDA</t>
  </si>
  <si>
    <t>AUDI</t>
  </si>
  <si>
    <t>IVAN SALERNO</t>
  </si>
  <si>
    <t>PAN</t>
  </si>
  <si>
    <t>LOGAN FROST</t>
  </si>
  <si>
    <t>JUAN CARLOS TASSARA</t>
  </si>
  <si>
    <t>GIANNI ALESSANDRIA</t>
  </si>
  <si>
    <t>JUAN CARLOS LEROUX</t>
  </si>
  <si>
    <t>ALESSIO ZUCHI</t>
  </si>
  <si>
    <t>RODRIGO PFLUKER / ALBETO PINTO</t>
  </si>
  <si>
    <t>CARLOS RUBEN HERRERA / DIEGO CINTINI</t>
  </si>
  <si>
    <t>USA</t>
  </si>
  <si>
    <t>RD</t>
  </si>
  <si>
    <t>Frost Family Racing</t>
  </si>
  <si>
    <t>Alpha Racing</t>
  </si>
  <si>
    <t>Herrera Motorsports</t>
  </si>
  <si>
    <t>Barcenas Racing</t>
  </si>
  <si>
    <t>AP RACING</t>
  </si>
  <si>
    <t>Hyundai MPA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</si>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</sst>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9.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dotted">
        <color rgb="FF28B4E7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center"/>
    </xf>
    <xf numFmtId="164" fontId="1" fillId="0" borderId="1" xfId="1" applyFont="1" applyFill="1" applyBorder="1"/>
    <xf numFmtId="0" fontId="3" fillId="3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0" borderId="2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4" fillId="0" borderId="2" xfId="0" quotePrefix="1" applyFont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Z329"/>
  <sheetViews>
    <sheetView tabSelected="1" topLeftCell="B1" zoomScaleNormal="100" workbookViewId="0">
      <selection activeCell="AE12" sqref="AE12"/>
    </sheetView>
  </sheetViews>
  <sheetFormatPr baseColWidth="10" defaultColWidth="11.41015625" defaultRowHeight="14.35" x14ac:dyDescent="0.5"/>
  <cols>
    <col min="1" max="1" width="3.87890625" style="3" bestFit="1" customWidth="1"/>
    <col min="2" max="2" width="6.87890625" style="4" bestFit="1" customWidth="1"/>
    <col min="3" max="3" width="26.9375" style="2" customWidth="1"/>
    <col min="4" max="4" width="12.87890625" style="7" bestFit="1" customWidth="1"/>
    <col min="5" max="5" width="26.87890625" style="2" hidden="1" customWidth="1"/>
    <col min="6" max="6" width="6.41015625" style="2" bestFit="1" customWidth="1"/>
    <col min="7" max="8" width="10.5859375" style="2" hidden="1" customWidth="1"/>
    <col min="9" max="9" width="10" style="2" hidden="1" customWidth="1"/>
    <col min="10" max="10" width="17.703125" style="2" bestFit="1" customWidth="1"/>
    <col min="11" max="11" width="15.234375" style="6" bestFit="1" customWidth="1"/>
    <col min="12" max="12" width="10" style="2" bestFit="1" customWidth="1"/>
    <col min="13" max="13" width="11.5859375" style="2" bestFit="1" customWidth="1"/>
    <col min="14" max="16" width="10.5859375" style="5" hidden="1" customWidth="1"/>
    <col min="17" max="20" width="10.5859375" style="2" hidden="1" customWidth="1"/>
    <col min="21" max="23" width="10.5859375" hidden="1" customWidth="1"/>
    <col min="24" max="28" width="10.5859375" style="2" hidden="1" customWidth="1"/>
    <col min="29" max="30" width="11.87890625" style="2" hidden="1" customWidth="1"/>
    <col min="31" max="31" width="17.41015625" style="2" customWidth="1"/>
    <col min="32" max="35" width="11.41015625" style="2" customWidth="1"/>
    <col min="36" max="53" width="11.41015625" style="2"/>
    <col min="54" max="54" width="12" style="2" bestFit="1" customWidth="1"/>
    <col min="55" max="55" width="15.234375" style="2" bestFit="1" customWidth="1"/>
    <col min="56" max="56" width="3.1171875" style="2" bestFit="1" customWidth="1"/>
    <col min="57" max="16384" width="11.41015625" style="2"/>
  </cols>
  <sheetData>
    <row r="1" spans="1:78" s="1" customFormat="1" x14ac:dyDescent="0.5">
      <c r="B1" s="1" t="s">
        <v>0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9</v>
      </c>
      <c r="H1" s="1" t="s">
        <v>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</row>
    <row r="2" spans="1:78" s="8" customFormat="1" x14ac:dyDescent="0.5">
      <c r="A2" s="2">
        <v>1</v>
      </c>
      <c r="B2" s="11">
        <v>41</v>
      </c>
      <c r="C2" s="12" t="s">
        <v>30</v>
      </c>
      <c r="D2" s="2" t="s">
        <v>27</v>
      </c>
      <c r="E2" s="2"/>
      <c r="F2" s="2" t="s">
        <v>37</v>
      </c>
      <c r="G2" s="2" t="s">
        <v>11</v>
      </c>
      <c r="H2" s="2" t="s">
        <v>12</v>
      </c>
      <c r="I2" s="2" t="s">
        <v>12</v>
      </c>
      <c r="J2" s="2" t="str">
        <f>CONCATENATE(BD2,"."," ",BC2)</f>
        <v>L. FROST</v>
      </c>
      <c r="K2" s="2" t="str">
        <f>BC2</f>
        <v>FROST</v>
      </c>
      <c r="L2" s="2" t="str">
        <f>LEFT(K2,3)</f>
        <v>FRO</v>
      </c>
      <c r="M2" s="2" t="s">
        <v>23</v>
      </c>
      <c r="N2" s="2">
        <v>0</v>
      </c>
      <c r="O2" s="2">
        <v>0</v>
      </c>
      <c r="P2" s="2">
        <v>0</v>
      </c>
      <c r="Q2" s="2">
        <v>0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 t="s">
        <v>39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str">
        <f t="shared" ref="BB2:BB28" si="0">MID(C2,1,SEARCH(" ",C2,1))</f>
        <v xml:space="preserve">LOGAN </v>
      </c>
      <c r="BC2" s="2" t="str">
        <f t="shared" ref="BC2:BC28" si="1">RIGHT(C2,LEN(C2)-FIND(" ",C2))</f>
        <v>FROST</v>
      </c>
      <c r="BD2" s="2" t="str">
        <f>LEFT(C2,1)</f>
        <v>L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s="8" customFormat="1" x14ac:dyDescent="0.5">
      <c r="A3" s="2">
        <v>2</v>
      </c>
      <c r="B3" s="11">
        <v>22</v>
      </c>
      <c r="C3" s="12" t="s">
        <v>31</v>
      </c>
      <c r="D3" s="2" t="s">
        <v>24</v>
      </c>
      <c r="E3" s="2"/>
      <c r="F3" s="2" t="s">
        <v>8</v>
      </c>
      <c r="G3" s="2" t="s">
        <v>13</v>
      </c>
      <c r="H3" s="2" t="s">
        <v>14</v>
      </c>
      <c r="I3" s="2" t="s">
        <v>14</v>
      </c>
      <c r="J3" s="2" t="str">
        <f t="shared" ref="J3:J11" si="2">CONCATENATE(BD3,"."," ",BC3)</f>
        <v>J. CARLOS TASSARA</v>
      </c>
      <c r="K3" s="2" t="str">
        <f t="shared" ref="K3:K11" si="3">BC3</f>
        <v>CARLOS TASSARA</v>
      </c>
      <c r="L3" s="2" t="str">
        <f t="shared" ref="L3:L11" si="4">LEFT(K3,3)</f>
        <v>CAR</v>
      </c>
      <c r="M3" s="2" t="s">
        <v>23</v>
      </c>
      <c r="N3" s="2">
        <v>0</v>
      </c>
      <c r="O3" s="2">
        <v>0</v>
      </c>
      <c r="P3" s="2">
        <v>0</v>
      </c>
      <c r="Q3" s="2">
        <v>0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 t="s">
        <v>40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 t="str">
        <f t="shared" si="0"/>
        <v xml:space="preserve">JUAN </v>
      </c>
      <c r="BC3" s="2" t="str">
        <f t="shared" si="1"/>
        <v>CARLOS TASSARA</v>
      </c>
      <c r="BD3" s="2" t="str">
        <f t="shared" ref="BD3:BD28" si="5">LEFT(C3,1)</f>
        <v>J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s="8" customFormat="1" x14ac:dyDescent="0.5">
      <c r="A4" s="2">
        <v>3</v>
      </c>
      <c r="B4" s="11">
        <v>69</v>
      </c>
      <c r="C4" s="12" t="s">
        <v>34</v>
      </c>
      <c r="D4" s="2" t="s">
        <v>25</v>
      </c>
      <c r="E4" s="2"/>
      <c r="F4" s="2" t="s">
        <v>8</v>
      </c>
      <c r="G4" s="2" t="s">
        <v>15</v>
      </c>
      <c r="H4" s="2" t="s">
        <v>16</v>
      </c>
      <c r="I4" s="2" t="s">
        <v>16</v>
      </c>
      <c r="J4" s="2" t="str">
        <f t="shared" si="2"/>
        <v>A. ZUCHI</v>
      </c>
      <c r="K4" s="2" t="str">
        <f t="shared" si="3"/>
        <v>ZUCHI</v>
      </c>
      <c r="L4" s="2" t="str">
        <f t="shared" si="4"/>
        <v>ZUC</v>
      </c>
      <c r="M4" s="2" t="s">
        <v>23</v>
      </c>
      <c r="N4" s="2">
        <v>0</v>
      </c>
      <c r="O4" s="2">
        <v>0</v>
      </c>
      <c r="P4" s="2">
        <v>0</v>
      </c>
      <c r="Q4" s="2">
        <v>0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40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 t="str">
        <f t="shared" si="0"/>
        <v xml:space="preserve">ALESSIO </v>
      </c>
      <c r="BC4" s="2" t="str">
        <f t="shared" si="1"/>
        <v>ZUCHI</v>
      </c>
      <c r="BD4" s="2" t="str">
        <f t="shared" si="5"/>
        <v>A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ht="28.7" x14ac:dyDescent="0.5">
      <c r="A5" s="2">
        <v>4</v>
      </c>
      <c r="B5" s="11">
        <v>47</v>
      </c>
      <c r="C5" s="12" t="s">
        <v>35</v>
      </c>
      <c r="D5" s="2" t="s">
        <v>26</v>
      </c>
      <c r="F5" s="2" t="s">
        <v>8</v>
      </c>
      <c r="G5" s="2" t="s">
        <v>11</v>
      </c>
      <c r="H5" s="2" t="s">
        <v>12</v>
      </c>
      <c r="I5" s="2" t="s">
        <v>12</v>
      </c>
      <c r="J5" s="2" t="str">
        <f t="shared" si="2"/>
        <v>R. PFLUKER / ALBETO PINTO</v>
      </c>
      <c r="K5" s="2" t="str">
        <f t="shared" si="3"/>
        <v>PFLUKER / ALBETO PINTO</v>
      </c>
      <c r="L5" s="2" t="str">
        <f t="shared" si="4"/>
        <v>PFL</v>
      </c>
      <c r="M5" s="2" t="s">
        <v>23</v>
      </c>
      <c r="N5" s="2">
        <v>0</v>
      </c>
      <c r="O5" s="2">
        <v>0</v>
      </c>
      <c r="P5" s="2">
        <v>0</v>
      </c>
      <c r="Q5" s="2">
        <v>0</v>
      </c>
      <c r="U5" s="2"/>
      <c r="V5" s="2"/>
      <c r="W5" s="2"/>
      <c r="AE5" s="2" t="s">
        <v>40</v>
      </c>
      <c r="BB5" s="2" t="str">
        <f t="shared" si="0"/>
        <v xml:space="preserve">RODRIGO </v>
      </c>
      <c r="BC5" s="2" t="str">
        <f t="shared" si="1"/>
        <v>PFLUKER / ALBETO PINTO</v>
      </c>
      <c r="BD5" s="2" t="str">
        <f t="shared" si="5"/>
        <v>R</v>
      </c>
    </row>
    <row r="6" spans="1:78" ht="28.7" x14ac:dyDescent="0.5">
      <c r="A6" s="2">
        <v>5</v>
      </c>
      <c r="B6" s="13">
        <v>3</v>
      </c>
      <c r="C6" s="12" t="s">
        <v>36</v>
      </c>
      <c r="D6" s="2" t="s">
        <v>25</v>
      </c>
      <c r="F6" s="2" t="s">
        <v>29</v>
      </c>
      <c r="G6" s="2" t="s">
        <v>17</v>
      </c>
      <c r="H6" s="2" t="s">
        <v>14</v>
      </c>
      <c r="I6" s="2" t="s">
        <v>14</v>
      </c>
      <c r="J6" s="2" t="str">
        <f t="shared" si="2"/>
        <v>C. RUBEN HERRERA / DIEGO CINTINI</v>
      </c>
      <c r="K6" s="2" t="str">
        <f t="shared" si="3"/>
        <v>RUBEN HERRERA / DIEGO CINTINI</v>
      </c>
      <c r="L6" s="2" t="str">
        <f t="shared" si="4"/>
        <v>RUB</v>
      </c>
      <c r="M6" s="2" t="s">
        <v>23</v>
      </c>
      <c r="N6" s="2">
        <v>0</v>
      </c>
      <c r="O6" s="2">
        <v>0</v>
      </c>
      <c r="P6" s="2">
        <v>0</v>
      </c>
      <c r="Q6" s="2">
        <v>0</v>
      </c>
      <c r="U6" s="2"/>
      <c r="V6" s="2"/>
      <c r="W6" s="2"/>
      <c r="AE6" s="2" t="s">
        <v>41</v>
      </c>
      <c r="BB6" s="2" t="str">
        <f t="shared" si="0"/>
        <v xml:space="preserve">CARLOS </v>
      </c>
      <c r="BC6" s="2" t="str">
        <f t="shared" si="1"/>
        <v>RUBEN HERRERA / DIEGO CINTINI</v>
      </c>
      <c r="BD6" s="2" t="str">
        <f t="shared" si="5"/>
        <v>C</v>
      </c>
    </row>
    <row r="7" spans="1:78" x14ac:dyDescent="0.5">
      <c r="A7" s="2">
        <v>6</v>
      </c>
      <c r="B7" s="11">
        <v>12</v>
      </c>
      <c r="C7" s="12" t="s">
        <v>22</v>
      </c>
      <c r="D7" s="2" t="s">
        <v>25</v>
      </c>
      <c r="F7" s="2" t="s">
        <v>29</v>
      </c>
      <c r="G7" s="2" t="s">
        <v>18</v>
      </c>
      <c r="H7" s="2" t="s">
        <v>16</v>
      </c>
      <c r="I7" s="2" t="s">
        <v>16</v>
      </c>
      <c r="J7" s="2" t="str">
        <f t="shared" si="2"/>
        <v>M. BARCENAS</v>
      </c>
      <c r="K7" s="2" t="str">
        <f t="shared" si="3"/>
        <v>BARCENAS</v>
      </c>
      <c r="L7" s="2" t="str">
        <f t="shared" si="4"/>
        <v>BAR</v>
      </c>
      <c r="M7" s="2" t="s">
        <v>23</v>
      </c>
      <c r="N7" s="2">
        <v>0</v>
      </c>
      <c r="O7" s="2">
        <v>0</v>
      </c>
      <c r="P7" s="2">
        <v>0</v>
      </c>
      <c r="Q7" s="2">
        <v>0</v>
      </c>
      <c r="U7" s="2"/>
      <c r="V7" s="2"/>
      <c r="W7" s="2"/>
      <c r="AE7" s="2" t="s">
        <v>42</v>
      </c>
      <c r="BB7" s="2" t="str">
        <f t="shared" si="0"/>
        <v xml:space="preserve">MARIO </v>
      </c>
      <c r="BC7" s="2" t="str">
        <f t="shared" si="1"/>
        <v>BARCENAS</v>
      </c>
      <c r="BD7" s="2" t="str">
        <f t="shared" si="5"/>
        <v>M</v>
      </c>
    </row>
    <row r="8" spans="1:78" s="8" customFormat="1" x14ac:dyDescent="0.5">
      <c r="A8" s="2">
        <v>7</v>
      </c>
      <c r="B8" s="13">
        <v>83</v>
      </c>
      <c r="C8" s="12" t="s">
        <v>28</v>
      </c>
      <c r="D8" s="2" t="s">
        <v>26</v>
      </c>
      <c r="E8" s="2"/>
      <c r="F8" s="2" t="s">
        <v>29</v>
      </c>
      <c r="G8" s="2" t="s">
        <v>11</v>
      </c>
      <c r="H8" s="2" t="s">
        <v>12</v>
      </c>
      <c r="I8" s="2" t="s">
        <v>12</v>
      </c>
      <c r="J8" s="2" t="str">
        <f t="shared" si="2"/>
        <v>I. SALERNO</v>
      </c>
      <c r="K8" s="2" t="str">
        <f t="shared" si="3"/>
        <v>SALERNO</v>
      </c>
      <c r="L8" s="2" t="str">
        <f t="shared" si="4"/>
        <v>SAL</v>
      </c>
      <c r="M8" s="2" t="s">
        <v>23</v>
      </c>
      <c r="N8" s="2">
        <v>0</v>
      </c>
      <c r="O8" s="2">
        <v>0</v>
      </c>
      <c r="P8" s="2">
        <v>0</v>
      </c>
      <c r="Q8" s="2"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 t="s">
        <v>43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 t="str">
        <f t="shared" si="0"/>
        <v xml:space="preserve">IVAN </v>
      </c>
      <c r="BC8" s="2" t="str">
        <f t="shared" si="1"/>
        <v>SALERNO</v>
      </c>
      <c r="BD8" s="2" t="str">
        <f t="shared" si="5"/>
        <v>I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s="8" customFormat="1" x14ac:dyDescent="0.5">
      <c r="A9" s="2">
        <v>8</v>
      </c>
      <c r="B9" s="13">
        <v>33</v>
      </c>
      <c r="C9" s="12" t="s">
        <v>21</v>
      </c>
      <c r="D9" s="2" t="s">
        <v>25</v>
      </c>
      <c r="E9" s="2"/>
      <c r="F9" s="2" t="s">
        <v>29</v>
      </c>
      <c r="G9" s="2" t="s">
        <v>19</v>
      </c>
      <c r="H9" s="2" t="s">
        <v>14</v>
      </c>
      <c r="I9" s="2" t="s">
        <v>14</v>
      </c>
      <c r="J9" s="2" t="str">
        <f t="shared" si="2"/>
        <v>L. RAMIREZ</v>
      </c>
      <c r="K9" s="2" t="str">
        <f t="shared" si="3"/>
        <v>RAMIREZ</v>
      </c>
      <c r="L9" s="2" t="str">
        <f t="shared" si="4"/>
        <v>RAM</v>
      </c>
      <c r="M9" s="2" t="s">
        <v>23</v>
      </c>
      <c r="N9" s="2">
        <v>0</v>
      </c>
      <c r="O9" s="2">
        <v>0</v>
      </c>
      <c r="P9" s="2">
        <v>0</v>
      </c>
      <c r="Q9" s="2"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44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 t="str">
        <f t="shared" si="0"/>
        <v xml:space="preserve">LUIS </v>
      </c>
      <c r="BC9" s="2" t="str">
        <f t="shared" si="1"/>
        <v>RAMIREZ</v>
      </c>
      <c r="BD9" s="2" t="str">
        <f t="shared" si="5"/>
        <v>L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s="8" customFormat="1" x14ac:dyDescent="0.5">
      <c r="A10" s="2">
        <v>9</v>
      </c>
      <c r="B10" s="11">
        <v>48</v>
      </c>
      <c r="C10" s="12" t="s">
        <v>32</v>
      </c>
      <c r="D10" s="2" t="s">
        <v>26</v>
      </c>
      <c r="E10" s="2"/>
      <c r="F10" s="2" t="s">
        <v>29</v>
      </c>
      <c r="G10" s="2" t="s">
        <v>20</v>
      </c>
      <c r="H10" s="2" t="s">
        <v>16</v>
      </c>
      <c r="I10" s="2" t="s">
        <v>16</v>
      </c>
      <c r="J10" s="2" t="str">
        <f t="shared" si="2"/>
        <v>G. ALESSANDRIA</v>
      </c>
      <c r="K10" s="2" t="str">
        <f t="shared" si="3"/>
        <v>ALESSANDRIA</v>
      </c>
      <c r="L10" s="2" t="str">
        <f t="shared" si="4"/>
        <v>ALE</v>
      </c>
      <c r="M10" s="2" t="s">
        <v>23</v>
      </c>
      <c r="N10" s="2">
        <v>0</v>
      </c>
      <c r="O10" s="2">
        <v>0</v>
      </c>
      <c r="P10" s="2">
        <v>0</v>
      </c>
      <c r="Q10" s="2"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45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 t="str">
        <f t="shared" si="0"/>
        <v xml:space="preserve">GIANNI </v>
      </c>
      <c r="BC10" s="2" t="str">
        <f t="shared" si="1"/>
        <v>ALESSANDRIA</v>
      </c>
      <c r="BD10" s="2" t="str">
        <f t="shared" si="5"/>
        <v>G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s="9" customFormat="1" x14ac:dyDescent="0.5">
      <c r="A11" s="2">
        <v>10</v>
      </c>
      <c r="B11" s="13">
        <v>42</v>
      </c>
      <c r="C11" s="12" t="s">
        <v>33</v>
      </c>
      <c r="D11" s="2" t="s">
        <v>25</v>
      </c>
      <c r="E11" s="2"/>
      <c r="F11" s="2" t="s">
        <v>38</v>
      </c>
      <c r="G11" s="2" t="s">
        <v>11</v>
      </c>
      <c r="H11" s="2" t="s">
        <v>12</v>
      </c>
      <c r="I11" s="2" t="s">
        <v>12</v>
      </c>
      <c r="J11" s="2" t="str">
        <f t="shared" si="2"/>
        <v>J. CARLOS LEROUX</v>
      </c>
      <c r="K11" s="2" t="str">
        <f t="shared" si="3"/>
        <v>CARLOS LEROUX</v>
      </c>
      <c r="L11" s="2" t="str">
        <f t="shared" si="4"/>
        <v>CAR</v>
      </c>
      <c r="M11" s="2" t="s">
        <v>23</v>
      </c>
      <c r="N11" s="2">
        <v>0</v>
      </c>
      <c r="O11" s="2">
        <v>0</v>
      </c>
      <c r="P11" s="2">
        <v>0</v>
      </c>
      <c r="Q11" s="2"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 t="s">
        <v>43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 t="str">
        <f t="shared" si="0"/>
        <v xml:space="preserve">JUAN </v>
      </c>
      <c r="BC11" s="2" t="str">
        <f t="shared" si="1"/>
        <v>CARLOS LEROUX</v>
      </c>
      <c r="BD11" s="2" t="str">
        <f t="shared" si="5"/>
        <v>J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s="9" customFormat="1" x14ac:dyDescent="0.5">
      <c r="A12" s="2"/>
      <c r="B12" s="13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 t="e">
        <f t="shared" si="0"/>
        <v>#VALUE!</v>
      </c>
      <c r="BC12" s="2" t="e">
        <f t="shared" si="1"/>
        <v>#VALUE!</v>
      </c>
      <c r="BD12" s="2" t="str">
        <f t="shared" si="5"/>
        <v/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s="9" customFormat="1" x14ac:dyDescent="0.5">
      <c r="A13" s="2"/>
      <c r="B13" s="13"/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e">
        <f t="shared" si="0"/>
        <v>#VALUE!</v>
      </c>
      <c r="BC13" s="2" t="e">
        <f t="shared" si="1"/>
        <v>#VALUE!</v>
      </c>
      <c r="BD13" s="2" t="str">
        <f t="shared" si="5"/>
        <v/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s="8" customFormat="1" x14ac:dyDescent="0.5">
      <c r="A14" s="2"/>
      <c r="B14" s="13"/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 t="e">
        <f t="shared" si="0"/>
        <v>#VALUE!</v>
      </c>
      <c r="BC14" s="2" t="e">
        <f t="shared" si="1"/>
        <v>#VALUE!</v>
      </c>
      <c r="BD14" s="2" t="str">
        <f t="shared" si="5"/>
        <v/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s="8" customFormat="1" x14ac:dyDescent="0.5">
      <c r="A15" s="2"/>
      <c r="B15" s="13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 t="e">
        <f t="shared" si="0"/>
        <v>#VALUE!</v>
      </c>
      <c r="BC15" s="2" t="e">
        <f t="shared" si="1"/>
        <v>#VALUE!</v>
      </c>
      <c r="BD15" s="2" t="str">
        <f t="shared" si="5"/>
        <v/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s="8" customFormat="1" x14ac:dyDescent="0.5">
      <c r="A16" s="2"/>
      <c r="B16" s="13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 t="e">
        <f t="shared" si="0"/>
        <v>#VALUE!</v>
      </c>
      <c r="BC16" s="2" t="e">
        <f t="shared" si="1"/>
        <v>#VALUE!</v>
      </c>
      <c r="BD16" s="2" t="str">
        <f t="shared" si="5"/>
        <v/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5">
      <c r="A17" s="2"/>
      <c r="B17" s="13"/>
      <c r="C17" s="12"/>
      <c r="D17" s="2"/>
      <c r="K17" s="2"/>
      <c r="N17" s="2"/>
      <c r="O17" s="2"/>
      <c r="P17" s="2"/>
      <c r="U17" s="2"/>
      <c r="V17" s="2"/>
      <c r="W17" s="2"/>
      <c r="BB17" s="2" t="e">
        <f t="shared" si="0"/>
        <v>#VALUE!</v>
      </c>
      <c r="BC17" s="2" t="e">
        <f t="shared" si="1"/>
        <v>#VALUE!</v>
      </c>
      <c r="BD17" s="2" t="str">
        <f t="shared" si="5"/>
        <v/>
      </c>
    </row>
    <row r="18" spans="1:78" x14ac:dyDescent="0.5">
      <c r="A18" s="2"/>
      <c r="B18" s="13"/>
      <c r="C18" s="12"/>
      <c r="D18" s="2"/>
      <c r="K18" s="2"/>
      <c r="N18" s="2"/>
      <c r="O18" s="2"/>
      <c r="P18" s="2"/>
      <c r="U18" s="2"/>
      <c r="V18" s="2"/>
      <c r="W18" s="2"/>
      <c r="BB18" s="2" t="e">
        <f t="shared" si="0"/>
        <v>#VALUE!</v>
      </c>
      <c r="BC18" s="2" t="e">
        <f t="shared" si="1"/>
        <v>#VALUE!</v>
      </c>
      <c r="BD18" s="2" t="str">
        <f t="shared" si="5"/>
        <v/>
      </c>
    </row>
    <row r="19" spans="1:78" x14ac:dyDescent="0.5">
      <c r="A19" s="2"/>
      <c r="B19" s="13"/>
      <c r="C19" s="12"/>
      <c r="D19" s="2"/>
      <c r="K19" s="2"/>
      <c r="N19" s="2"/>
      <c r="O19" s="2"/>
      <c r="P19" s="2"/>
      <c r="U19" s="2"/>
      <c r="V19" s="2"/>
      <c r="W19" s="2"/>
      <c r="BB19" s="2" t="e">
        <f t="shared" si="0"/>
        <v>#VALUE!</v>
      </c>
      <c r="BC19" s="2" t="e">
        <f t="shared" si="1"/>
        <v>#VALUE!</v>
      </c>
      <c r="BD19" s="2" t="str">
        <f t="shared" si="5"/>
        <v/>
      </c>
    </row>
    <row r="20" spans="1:78" s="10" customFormat="1" x14ac:dyDescent="0.5">
      <c r="A20" s="2"/>
      <c r="B20" s="13"/>
      <c r="C20" s="1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 t="e">
        <f t="shared" si="0"/>
        <v>#VALUE!</v>
      </c>
      <c r="BC20" s="2" t="e">
        <f t="shared" si="1"/>
        <v>#VALUE!</v>
      </c>
      <c r="BD20" s="2" t="str">
        <f t="shared" si="5"/>
        <v/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10" customFormat="1" x14ac:dyDescent="0.5">
      <c r="A21" s="2"/>
      <c r="B21" s="13"/>
      <c r="C21" s="1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 t="e">
        <f t="shared" si="0"/>
        <v>#VALUE!</v>
      </c>
      <c r="BC21" s="2" t="e">
        <f t="shared" si="1"/>
        <v>#VALUE!</v>
      </c>
      <c r="BD21" s="2" t="str">
        <f t="shared" si="5"/>
        <v/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10" customFormat="1" x14ac:dyDescent="0.5">
      <c r="A22" s="2"/>
      <c r="B22" s="13"/>
      <c r="C22" s="1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 t="e">
        <f t="shared" si="0"/>
        <v>#VALUE!</v>
      </c>
      <c r="BC22" s="2" t="e">
        <f t="shared" si="1"/>
        <v>#VALUE!</v>
      </c>
      <c r="BD22" s="2" t="str">
        <f t="shared" si="5"/>
        <v/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5">
      <c r="A23" s="2"/>
      <c r="B23" s="13"/>
      <c r="C23" s="12"/>
      <c r="D23" s="2"/>
      <c r="K23" s="2"/>
      <c r="N23" s="2"/>
      <c r="O23" s="2"/>
      <c r="P23" s="2"/>
      <c r="U23" s="2"/>
      <c r="V23" s="2"/>
      <c r="W23" s="2"/>
      <c r="BB23" s="2" t="e">
        <f t="shared" si="0"/>
        <v>#VALUE!</v>
      </c>
      <c r="BC23" s="2" t="e">
        <f t="shared" si="1"/>
        <v>#VALUE!</v>
      </c>
      <c r="BD23" s="2" t="str">
        <f t="shared" si="5"/>
        <v/>
      </c>
    </row>
    <row r="24" spans="1:78" x14ac:dyDescent="0.5">
      <c r="A24" s="2"/>
      <c r="B24" s="13"/>
      <c r="C24" s="12"/>
      <c r="D24" s="2"/>
      <c r="K24" s="2"/>
      <c r="N24" s="2"/>
      <c r="O24" s="2"/>
      <c r="P24" s="2"/>
      <c r="U24" s="2"/>
      <c r="V24" s="2"/>
      <c r="W24" s="2"/>
      <c r="BB24" s="2" t="e">
        <f t="shared" si="0"/>
        <v>#VALUE!</v>
      </c>
      <c r="BC24" s="2" t="e">
        <f t="shared" si="1"/>
        <v>#VALUE!</v>
      </c>
      <c r="BD24" s="2" t="str">
        <f t="shared" si="5"/>
        <v/>
      </c>
    </row>
    <row r="25" spans="1:78" x14ac:dyDescent="0.5">
      <c r="A25" s="2"/>
      <c r="B25" s="13"/>
      <c r="C25" s="12"/>
      <c r="D25" s="2"/>
      <c r="K25" s="2"/>
      <c r="N25" s="2"/>
      <c r="O25" s="2"/>
      <c r="P25" s="2"/>
      <c r="U25" s="2"/>
      <c r="V25" s="2"/>
      <c r="W25" s="2"/>
      <c r="BB25" s="2" t="e">
        <f t="shared" si="0"/>
        <v>#VALUE!</v>
      </c>
      <c r="BC25" s="2" t="e">
        <f t="shared" si="1"/>
        <v>#VALUE!</v>
      </c>
      <c r="BD25" s="2" t="str">
        <f t="shared" si="5"/>
        <v/>
      </c>
    </row>
    <row r="26" spans="1:78" x14ac:dyDescent="0.5">
      <c r="A26" s="2"/>
      <c r="B26" s="13"/>
      <c r="C26" s="12"/>
      <c r="D26" s="2"/>
      <c r="K26" s="2"/>
      <c r="N26" s="2"/>
      <c r="O26" s="2"/>
      <c r="P26" s="2"/>
      <c r="U26" s="2"/>
      <c r="V26" s="2"/>
      <c r="W26" s="2"/>
      <c r="BB26" s="2" t="e">
        <f t="shared" si="0"/>
        <v>#VALUE!</v>
      </c>
      <c r="BC26" s="2" t="e">
        <f t="shared" si="1"/>
        <v>#VALUE!</v>
      </c>
      <c r="BD26" s="2" t="str">
        <f t="shared" si="5"/>
        <v/>
      </c>
    </row>
    <row r="27" spans="1:78" x14ac:dyDescent="0.5">
      <c r="A27" s="2"/>
      <c r="B27" s="13"/>
      <c r="C27" s="12"/>
      <c r="D27" s="2"/>
      <c r="K27" s="2"/>
      <c r="N27" s="2"/>
      <c r="O27" s="2"/>
      <c r="P27" s="2"/>
      <c r="U27" s="2"/>
      <c r="V27" s="2"/>
      <c r="W27" s="2"/>
      <c r="BB27" s="2" t="e">
        <f t="shared" si="0"/>
        <v>#VALUE!</v>
      </c>
      <c r="BC27" s="2" t="e">
        <f t="shared" si="1"/>
        <v>#VALUE!</v>
      </c>
      <c r="BD27" s="2" t="str">
        <f t="shared" si="5"/>
        <v/>
      </c>
    </row>
    <row r="28" spans="1:78" x14ac:dyDescent="0.5">
      <c r="A28" s="2"/>
      <c r="B28" s="13"/>
      <c r="C28" s="12"/>
      <c r="D28" s="2"/>
      <c r="K28" s="2"/>
      <c r="N28" s="2"/>
      <c r="O28" s="2"/>
      <c r="P28" s="2"/>
      <c r="U28" s="2"/>
      <c r="V28" s="2"/>
      <c r="W28" s="2"/>
      <c r="BB28" s="2" t="e">
        <f t="shared" si="0"/>
        <v>#VALUE!</v>
      </c>
      <c r="BC28" s="2" t="e">
        <f t="shared" si="1"/>
        <v>#VALUE!</v>
      </c>
      <c r="BD28" s="2" t="str">
        <f t="shared" si="5"/>
        <v/>
      </c>
    </row>
    <row r="29" spans="1:78" x14ac:dyDescent="0.5">
      <c r="A29" s="2"/>
      <c r="B29" s="13"/>
      <c r="C29" s="12"/>
      <c r="D29" s="2"/>
      <c r="K29" s="2"/>
      <c r="N29" s="2"/>
      <c r="O29" s="2"/>
      <c r="P29" s="2"/>
      <c r="U29" s="2"/>
      <c r="V29" s="2"/>
      <c r="W29" s="2"/>
      <c r="BB29" s="2" t="e">
        <f>MID(C29,1,SEARCH(" ",C29,1))</f>
        <v>#VALUE!</v>
      </c>
      <c r="BC29" s="2" t="e">
        <f>RIGHT(C29,LEN(C29)-FIND(" ",C29))</f>
        <v>#VALUE!</v>
      </c>
      <c r="BD29" s="2" t="str">
        <f>LEFT(C29,1)</f>
        <v/>
      </c>
    </row>
    <row r="30" spans="1:78" x14ac:dyDescent="0.5">
      <c r="A30" s="2"/>
      <c r="B30" s="13"/>
      <c r="C30" s="12"/>
      <c r="D30" s="2"/>
      <c r="K30" s="2"/>
      <c r="N30" s="2"/>
      <c r="O30" s="2"/>
      <c r="P30" s="2"/>
      <c r="U30" s="2"/>
      <c r="V30" s="2"/>
      <c r="W30" s="2"/>
      <c r="BB30" s="2" t="e">
        <f>MID(C30,1,SEARCH(" ",C30,1))</f>
        <v>#VALUE!</v>
      </c>
      <c r="BC30" s="2" t="e">
        <f>RIGHT(C30,LEN(C30)-FIND(" ",C30))</f>
        <v>#VALUE!</v>
      </c>
      <c r="BD30" s="2" t="str">
        <f>LEFT(C30,1)</f>
        <v/>
      </c>
    </row>
    <row r="31" spans="1:78" x14ac:dyDescent="0.5">
      <c r="A31" s="2"/>
      <c r="B31" s="13"/>
      <c r="C31" s="12"/>
      <c r="D31" s="2"/>
      <c r="K31" s="2"/>
      <c r="N31" s="2"/>
      <c r="O31" s="2"/>
      <c r="P31" s="2"/>
      <c r="U31" s="2"/>
      <c r="V31" s="2"/>
      <c r="W31" s="2"/>
      <c r="BB31" s="2" t="e">
        <f>MID(C31,1,SEARCH(" ",C31,1))</f>
        <v>#VALUE!</v>
      </c>
      <c r="BC31" s="2" t="e">
        <f>RIGHT(C31,LEN(C31)-FIND(" ",C31))</f>
        <v>#VALUE!</v>
      </c>
      <c r="BD31" s="2" t="str">
        <f>LEFT(C31,1)</f>
        <v/>
      </c>
    </row>
    <row r="32" spans="1:78" x14ac:dyDescent="0.5">
      <c r="A32" s="2"/>
      <c r="B32" s="13"/>
      <c r="C32" s="12"/>
      <c r="D32" s="2"/>
      <c r="K32" s="2"/>
      <c r="N32" s="2"/>
      <c r="O32" s="2"/>
      <c r="P32" s="2"/>
      <c r="U32" s="2"/>
      <c r="V32" s="2"/>
      <c r="W32" s="2"/>
      <c r="BB32" s="2" t="e">
        <f>MID(C32,1,SEARCH(" ",C32,1))</f>
        <v>#VALUE!</v>
      </c>
      <c r="BC32" s="2" t="e">
        <f>RIGHT(C32,LEN(C32)-FIND(" ",C32))</f>
        <v>#VALUE!</v>
      </c>
      <c r="BD32" s="2" t="str">
        <f>LEFT(C32,1)</f>
        <v/>
      </c>
    </row>
    <row r="33" spans="1:56" x14ac:dyDescent="0.5">
      <c r="A33" s="2"/>
      <c r="B33" s="13"/>
      <c r="C33" s="12"/>
      <c r="D33" s="2"/>
      <c r="K33" s="2"/>
      <c r="N33" s="2"/>
      <c r="O33" s="2"/>
      <c r="P33" s="2"/>
      <c r="U33" s="2"/>
      <c r="V33" s="2"/>
      <c r="W33" s="2"/>
      <c r="BB33" s="2" t="e">
        <f>MID(C33,1,SEARCH(" ",C33,1))</f>
        <v>#VALUE!</v>
      </c>
      <c r="BC33" s="2" t="e">
        <f>RIGHT(C33,LEN(C33)-FIND(" ",C33))</f>
        <v>#VALUE!</v>
      </c>
      <c r="BD33" s="2" t="str">
        <f>LEFT(C33,1)</f>
        <v/>
      </c>
    </row>
    <row r="34" spans="1:56" x14ac:dyDescent="0.5">
      <c r="A34" s="2"/>
      <c r="B34" s="13"/>
      <c r="C34" s="12"/>
      <c r="D34" s="2"/>
      <c r="K34" s="2"/>
      <c r="N34" s="2"/>
      <c r="O34" s="2"/>
      <c r="P34" s="2"/>
      <c r="U34" s="2"/>
      <c r="V34" s="2"/>
      <c r="W34" s="2"/>
    </row>
    <row r="35" spans="1:56" x14ac:dyDescent="0.5">
      <c r="A35" s="2"/>
      <c r="B35" s="13"/>
      <c r="C35" s="12"/>
      <c r="D35" s="2"/>
      <c r="K35" s="2"/>
      <c r="N35" s="2"/>
      <c r="O35" s="2"/>
      <c r="P35" s="2"/>
      <c r="U35" s="2"/>
      <c r="V35" s="2"/>
      <c r="W35" s="2"/>
    </row>
    <row r="36" spans="1:56" x14ac:dyDescent="0.5">
      <c r="A36" s="2"/>
      <c r="B36" s="13"/>
      <c r="C36" s="12"/>
      <c r="D36" s="2"/>
      <c r="K36" s="2"/>
      <c r="N36" s="2"/>
      <c r="O36" s="2"/>
      <c r="P36" s="2"/>
      <c r="U36" s="2"/>
      <c r="V36" s="2"/>
      <c r="W36" s="2"/>
    </row>
    <row r="37" spans="1:56" x14ac:dyDescent="0.5">
      <c r="A37" s="2"/>
      <c r="B37" s="13"/>
      <c r="C37" s="12"/>
      <c r="D37" s="2"/>
      <c r="K37" s="2"/>
      <c r="N37" s="2"/>
      <c r="O37" s="2"/>
      <c r="P37" s="2"/>
      <c r="U37" s="2"/>
      <c r="V37" s="2"/>
      <c r="W37" s="2"/>
    </row>
    <row r="38" spans="1:56" x14ac:dyDescent="0.5">
      <c r="A38" s="2"/>
      <c r="B38" s="13"/>
      <c r="C38" s="12"/>
      <c r="D38" s="2"/>
      <c r="K38" s="2"/>
      <c r="N38" s="2"/>
      <c r="O38" s="2"/>
      <c r="P38" s="2"/>
      <c r="U38" s="2"/>
      <c r="V38" s="2"/>
      <c r="W38" s="2"/>
    </row>
    <row r="39" spans="1:56" x14ac:dyDescent="0.5">
      <c r="A39" s="2"/>
      <c r="B39" s="13"/>
      <c r="C39" s="12"/>
      <c r="D39" s="2"/>
      <c r="K39" s="2"/>
      <c r="N39" s="2"/>
      <c r="O39" s="2"/>
      <c r="P39" s="2"/>
      <c r="U39" s="2"/>
      <c r="V39" s="2"/>
      <c r="W39" s="2"/>
    </row>
    <row r="40" spans="1:56" x14ac:dyDescent="0.5">
      <c r="A40" s="2"/>
      <c r="B40" s="13"/>
      <c r="C40" s="12"/>
      <c r="D40" s="2"/>
      <c r="K40" s="2"/>
      <c r="N40" s="2"/>
      <c r="O40" s="2"/>
      <c r="P40" s="2"/>
      <c r="U40" s="2"/>
      <c r="V40" s="2"/>
      <c r="W40" s="2"/>
    </row>
    <row r="41" spans="1:56" x14ac:dyDescent="0.5">
      <c r="A41" s="2"/>
      <c r="B41" s="13"/>
      <c r="C41" s="12"/>
      <c r="D41" s="2"/>
      <c r="K41" s="2"/>
      <c r="N41" s="2"/>
      <c r="O41" s="2"/>
      <c r="P41" s="2"/>
      <c r="U41" s="2"/>
      <c r="V41" s="2"/>
      <c r="W41" s="2"/>
    </row>
    <row r="42" spans="1:56" x14ac:dyDescent="0.5">
      <c r="A42" s="2"/>
      <c r="B42" s="13"/>
      <c r="C42" s="12"/>
      <c r="D42" s="2"/>
      <c r="K42" s="2"/>
      <c r="N42" s="2"/>
      <c r="O42" s="2"/>
      <c r="P42" s="2"/>
      <c r="U42" s="2"/>
      <c r="V42" s="2"/>
      <c r="W42" s="2"/>
    </row>
    <row r="43" spans="1:56" x14ac:dyDescent="0.5">
      <c r="A43" s="2"/>
      <c r="B43" s="13"/>
      <c r="C43" s="12"/>
      <c r="D43" s="2"/>
      <c r="K43" s="2"/>
      <c r="N43" s="2"/>
      <c r="O43" s="2"/>
      <c r="P43" s="2"/>
      <c r="U43" s="2"/>
      <c r="V43" s="2"/>
      <c r="W43" s="2"/>
    </row>
    <row r="44" spans="1:56" x14ac:dyDescent="0.5">
      <c r="A44" s="2"/>
      <c r="B44" s="13"/>
      <c r="C44" s="12"/>
      <c r="D44" s="2"/>
      <c r="K44" s="2"/>
      <c r="N44" s="2"/>
      <c r="O44" s="2"/>
      <c r="P44" s="2"/>
      <c r="U44" s="2"/>
      <c r="V44" s="2"/>
      <c r="W44" s="2"/>
    </row>
    <row r="45" spans="1:56" x14ac:dyDescent="0.5">
      <c r="A45" s="2"/>
      <c r="B45" s="13"/>
      <c r="C45" s="12"/>
      <c r="D45" s="2"/>
      <c r="K45" s="2"/>
      <c r="N45" s="2"/>
      <c r="O45" s="2"/>
      <c r="P45" s="2"/>
      <c r="U45" s="2"/>
      <c r="V45" s="2"/>
      <c r="W45" s="2"/>
    </row>
    <row r="46" spans="1:56" x14ac:dyDescent="0.5">
      <c r="A46" s="2"/>
      <c r="B46" s="13"/>
      <c r="C46" s="12"/>
      <c r="D46" s="2"/>
      <c r="K46" s="2"/>
      <c r="N46" s="2"/>
      <c r="O46" s="2"/>
      <c r="P46" s="2"/>
      <c r="U46" s="2"/>
      <c r="V46" s="2"/>
      <c r="W46" s="2"/>
    </row>
    <row r="47" spans="1:56" x14ac:dyDescent="0.5">
      <c r="A47" s="2"/>
      <c r="B47" s="2"/>
      <c r="D47" s="2"/>
      <c r="K47" s="2"/>
      <c r="N47" s="2"/>
      <c r="O47" s="2"/>
      <c r="P47" s="2"/>
      <c r="U47" s="2"/>
      <c r="V47" s="2"/>
      <c r="W47" s="2"/>
    </row>
    <row r="48" spans="1:56" x14ac:dyDescent="0.5">
      <c r="A48" s="2"/>
      <c r="B48" s="2"/>
      <c r="D48" s="2"/>
      <c r="K48" s="2"/>
      <c r="N48" s="2"/>
      <c r="O48" s="2"/>
      <c r="P48" s="2"/>
      <c r="U48" s="2"/>
      <c r="V48" s="2"/>
      <c r="W48" s="2"/>
    </row>
    <row r="49" s="2" customFormat="1" x14ac:dyDescent="0.5"/>
    <row r="50" s="2" customFormat="1" x14ac:dyDescent="0.5"/>
    <row r="51" s="2" customFormat="1" x14ac:dyDescent="0.5"/>
    <row r="52" s="2" customFormat="1" x14ac:dyDescent="0.5"/>
    <row r="53" s="2" customFormat="1" x14ac:dyDescent="0.5"/>
    <row r="54" s="2" customFormat="1" x14ac:dyDescent="0.5"/>
    <row r="55" s="2" customFormat="1" x14ac:dyDescent="0.5"/>
    <row r="56" s="2" customFormat="1" x14ac:dyDescent="0.5"/>
    <row r="57" s="2" customFormat="1" x14ac:dyDescent="0.5"/>
    <row r="58" s="2" customFormat="1" x14ac:dyDescent="0.5"/>
    <row r="59" s="2" customFormat="1" x14ac:dyDescent="0.5"/>
    <row r="60" s="2" customFormat="1" x14ac:dyDescent="0.5"/>
    <row r="61" s="2" customFormat="1" x14ac:dyDescent="0.5"/>
    <row r="62" s="2" customFormat="1" x14ac:dyDescent="0.5"/>
    <row r="63" s="2" customFormat="1" x14ac:dyDescent="0.5"/>
    <row r="64" s="2" customFormat="1" x14ac:dyDescent="0.5"/>
    <row r="65" s="2" customFormat="1" x14ac:dyDescent="0.5"/>
    <row r="66" s="2" customFormat="1" x14ac:dyDescent="0.5"/>
    <row r="67" s="2" customFormat="1" x14ac:dyDescent="0.5"/>
    <row r="68" s="2" customFormat="1" x14ac:dyDescent="0.5"/>
    <row r="69" s="2" customFormat="1" x14ac:dyDescent="0.5"/>
    <row r="70" s="2" customFormat="1" x14ac:dyDescent="0.5"/>
    <row r="71" s="2" customFormat="1" x14ac:dyDescent="0.5"/>
    <row r="72" s="2" customFormat="1" x14ac:dyDescent="0.5"/>
    <row r="73" s="2" customFormat="1" x14ac:dyDescent="0.5"/>
    <row r="74" s="2" customFormat="1" x14ac:dyDescent="0.5"/>
    <row r="75" s="2" customFormat="1" x14ac:dyDescent="0.5"/>
    <row r="76" s="2" customFormat="1" x14ac:dyDescent="0.5"/>
    <row r="77" s="2" customFormat="1" x14ac:dyDescent="0.5"/>
    <row r="78" s="2" customFormat="1" x14ac:dyDescent="0.5"/>
    <row r="79" s="2" customFormat="1" x14ac:dyDescent="0.5"/>
    <row r="80" s="2" customFormat="1" x14ac:dyDescent="0.5"/>
    <row r="81" s="2" customFormat="1" x14ac:dyDescent="0.5"/>
    <row r="82" s="2" customFormat="1" x14ac:dyDescent="0.5"/>
    <row r="83" s="2" customFormat="1" x14ac:dyDescent="0.5"/>
    <row r="84" s="2" customFormat="1" x14ac:dyDescent="0.5"/>
    <row r="85" s="2" customFormat="1" x14ac:dyDescent="0.5"/>
    <row r="86" s="2" customFormat="1" x14ac:dyDescent="0.5"/>
    <row r="87" s="2" customFormat="1" x14ac:dyDescent="0.5"/>
    <row r="88" s="2" customFormat="1" x14ac:dyDescent="0.5"/>
    <row r="89" s="2" customFormat="1" x14ac:dyDescent="0.5"/>
    <row r="90" s="2" customFormat="1" x14ac:dyDescent="0.5"/>
    <row r="91" s="2" customFormat="1" x14ac:dyDescent="0.5"/>
    <row r="92" s="2" customFormat="1" x14ac:dyDescent="0.5"/>
    <row r="93" s="2" customFormat="1" x14ac:dyDescent="0.5"/>
    <row r="94" s="2" customFormat="1" x14ac:dyDescent="0.5"/>
    <row r="95" s="2" customFormat="1" x14ac:dyDescent="0.5"/>
    <row r="96" s="2" customFormat="1" x14ac:dyDescent="0.5"/>
    <row r="97" s="2" customFormat="1" x14ac:dyDescent="0.5"/>
    <row r="98" s="2" customFormat="1" x14ac:dyDescent="0.5"/>
    <row r="99" s="2" customFormat="1" x14ac:dyDescent="0.5"/>
    <row r="100" s="2" customFormat="1" x14ac:dyDescent="0.5"/>
    <row r="101" s="2" customFormat="1" x14ac:dyDescent="0.5"/>
    <row r="102" s="2" customFormat="1" x14ac:dyDescent="0.5"/>
    <row r="103" s="2" customFormat="1" x14ac:dyDescent="0.5"/>
    <row r="104" s="2" customFormat="1" x14ac:dyDescent="0.5"/>
    <row r="105" s="2" customFormat="1" x14ac:dyDescent="0.5"/>
    <row r="106" s="2" customFormat="1" x14ac:dyDescent="0.5"/>
    <row r="107" s="2" customFormat="1" x14ac:dyDescent="0.5"/>
    <row r="108" s="2" customFormat="1" x14ac:dyDescent="0.5"/>
    <row r="109" s="2" customFormat="1" x14ac:dyDescent="0.5"/>
    <row r="110" s="2" customFormat="1" x14ac:dyDescent="0.5"/>
    <row r="111" s="2" customFormat="1" x14ac:dyDescent="0.5"/>
    <row r="112" s="2" customFormat="1" x14ac:dyDescent="0.5"/>
    <row r="113" s="2" customFormat="1" x14ac:dyDescent="0.5"/>
    <row r="114" s="2" customFormat="1" x14ac:dyDescent="0.5"/>
    <row r="115" s="2" customFormat="1" x14ac:dyDescent="0.5"/>
    <row r="116" s="2" customFormat="1" x14ac:dyDescent="0.5"/>
    <row r="117" s="2" customFormat="1" x14ac:dyDescent="0.5"/>
    <row r="118" s="2" customFormat="1" x14ac:dyDescent="0.5"/>
    <row r="119" s="2" customFormat="1" x14ac:dyDescent="0.5"/>
    <row r="120" s="2" customFormat="1" x14ac:dyDescent="0.5"/>
    <row r="121" s="2" customFormat="1" x14ac:dyDescent="0.5"/>
    <row r="122" s="2" customFormat="1" x14ac:dyDescent="0.5"/>
    <row r="123" s="2" customFormat="1" x14ac:dyDescent="0.5"/>
    <row r="124" s="2" customFormat="1" x14ac:dyDescent="0.5"/>
    <row r="125" s="2" customFormat="1" x14ac:dyDescent="0.5"/>
    <row r="126" s="2" customFormat="1" x14ac:dyDescent="0.5"/>
    <row r="127" s="2" customFormat="1" x14ac:dyDescent="0.5"/>
    <row r="128" s="2" customFormat="1" x14ac:dyDescent="0.5"/>
    <row r="129" s="2" customFormat="1" x14ac:dyDescent="0.5"/>
    <row r="130" s="2" customFormat="1" x14ac:dyDescent="0.5"/>
    <row r="131" s="2" customFormat="1" x14ac:dyDescent="0.5"/>
    <row r="132" s="2" customFormat="1" x14ac:dyDescent="0.5"/>
    <row r="133" s="2" customFormat="1" x14ac:dyDescent="0.5"/>
    <row r="134" s="2" customFormat="1" x14ac:dyDescent="0.5"/>
    <row r="135" s="2" customFormat="1" x14ac:dyDescent="0.5"/>
    <row r="136" s="2" customFormat="1" x14ac:dyDescent="0.5"/>
    <row r="137" s="2" customFormat="1" x14ac:dyDescent="0.5"/>
    <row r="138" s="2" customFormat="1" x14ac:dyDescent="0.5"/>
    <row r="139" s="2" customFormat="1" x14ac:dyDescent="0.5"/>
    <row r="140" s="2" customFormat="1" x14ac:dyDescent="0.5"/>
    <row r="141" s="2" customFormat="1" x14ac:dyDescent="0.5"/>
    <row r="142" s="2" customFormat="1" x14ac:dyDescent="0.5"/>
    <row r="143" s="2" customFormat="1" x14ac:dyDescent="0.5"/>
    <row r="144" s="2" customFormat="1" x14ac:dyDescent="0.5"/>
    <row r="145" s="2" customFormat="1" x14ac:dyDescent="0.5"/>
    <row r="146" s="2" customFormat="1" x14ac:dyDescent="0.5"/>
    <row r="147" s="2" customFormat="1" x14ac:dyDescent="0.5"/>
    <row r="148" s="2" customFormat="1" x14ac:dyDescent="0.5"/>
    <row r="149" s="2" customFormat="1" x14ac:dyDescent="0.5"/>
    <row r="150" s="2" customFormat="1" x14ac:dyDescent="0.5"/>
    <row r="151" s="2" customFormat="1" x14ac:dyDescent="0.5"/>
    <row r="152" s="2" customFormat="1" x14ac:dyDescent="0.5"/>
    <row r="153" s="2" customFormat="1" x14ac:dyDescent="0.5"/>
    <row r="154" s="2" customFormat="1" x14ac:dyDescent="0.5"/>
    <row r="155" s="2" customFormat="1" x14ac:dyDescent="0.5"/>
    <row r="156" s="2" customFormat="1" x14ac:dyDescent="0.5"/>
    <row r="157" s="2" customFormat="1" x14ac:dyDescent="0.5"/>
    <row r="158" s="2" customFormat="1" x14ac:dyDescent="0.5"/>
    <row r="159" s="2" customFormat="1" x14ac:dyDescent="0.5"/>
    <row r="160" s="2" customFormat="1" x14ac:dyDescent="0.5"/>
    <row r="161" s="2" customFormat="1" x14ac:dyDescent="0.5"/>
    <row r="162" s="2" customFormat="1" x14ac:dyDescent="0.5"/>
    <row r="163" s="2" customFormat="1" x14ac:dyDescent="0.5"/>
    <row r="164" s="2" customFormat="1" x14ac:dyDescent="0.5"/>
    <row r="165" s="2" customFormat="1" x14ac:dyDescent="0.5"/>
    <row r="166" s="2" customFormat="1" x14ac:dyDescent="0.5"/>
    <row r="167" s="2" customFormat="1" x14ac:dyDescent="0.5"/>
    <row r="168" s="2" customFormat="1" x14ac:dyDescent="0.5"/>
    <row r="169" s="2" customFormat="1" x14ac:dyDescent="0.5"/>
    <row r="170" s="2" customFormat="1" x14ac:dyDescent="0.5"/>
    <row r="171" s="2" customFormat="1" x14ac:dyDescent="0.5"/>
    <row r="172" s="2" customFormat="1" x14ac:dyDescent="0.5"/>
    <row r="173" s="2" customFormat="1" x14ac:dyDescent="0.5"/>
    <row r="174" s="2" customFormat="1" x14ac:dyDescent="0.5"/>
    <row r="175" s="2" customFormat="1" x14ac:dyDescent="0.5"/>
    <row r="176" s="2" customFormat="1" x14ac:dyDescent="0.5"/>
    <row r="177" s="2" customFormat="1" x14ac:dyDescent="0.5"/>
    <row r="178" s="2" customFormat="1" x14ac:dyDescent="0.5"/>
    <row r="179" s="2" customFormat="1" x14ac:dyDescent="0.5"/>
    <row r="180" s="2" customFormat="1" x14ac:dyDescent="0.5"/>
    <row r="181" s="2" customFormat="1" x14ac:dyDescent="0.5"/>
    <row r="182" s="2" customFormat="1" x14ac:dyDescent="0.5"/>
    <row r="183" s="2" customFormat="1" x14ac:dyDescent="0.5"/>
    <row r="184" s="2" customFormat="1" x14ac:dyDescent="0.5"/>
    <row r="185" s="2" customFormat="1" x14ac:dyDescent="0.5"/>
    <row r="186" s="2" customFormat="1" x14ac:dyDescent="0.5"/>
    <row r="187" s="2" customFormat="1" x14ac:dyDescent="0.5"/>
    <row r="188" s="2" customFormat="1" x14ac:dyDescent="0.5"/>
    <row r="189" s="2" customFormat="1" x14ac:dyDescent="0.5"/>
    <row r="190" s="2" customFormat="1" x14ac:dyDescent="0.5"/>
    <row r="191" s="2" customFormat="1" x14ac:dyDescent="0.5"/>
    <row r="192" s="2" customFormat="1" x14ac:dyDescent="0.5"/>
    <row r="193" s="2" customFormat="1" x14ac:dyDescent="0.5"/>
    <row r="194" s="2" customFormat="1" x14ac:dyDescent="0.5"/>
    <row r="195" s="2" customFormat="1" x14ac:dyDescent="0.5"/>
    <row r="196" s="2" customFormat="1" x14ac:dyDescent="0.5"/>
    <row r="197" s="2" customFormat="1" x14ac:dyDescent="0.5"/>
    <row r="198" s="2" customFormat="1" x14ac:dyDescent="0.5"/>
    <row r="199" s="2" customFormat="1" x14ac:dyDescent="0.5"/>
    <row r="200" s="2" customFormat="1" x14ac:dyDescent="0.5"/>
    <row r="201" s="2" customFormat="1" x14ac:dyDescent="0.5"/>
    <row r="202" s="2" customFormat="1" x14ac:dyDescent="0.5"/>
    <row r="203" s="2" customFormat="1" x14ac:dyDescent="0.5"/>
    <row r="204" s="2" customFormat="1" x14ac:dyDescent="0.5"/>
    <row r="205" s="2" customFormat="1" x14ac:dyDescent="0.5"/>
    <row r="206" s="2" customFormat="1" x14ac:dyDescent="0.5"/>
    <row r="207" s="2" customFormat="1" x14ac:dyDescent="0.5"/>
    <row r="208" s="2" customFormat="1" x14ac:dyDescent="0.5"/>
    <row r="209" s="2" customFormat="1" x14ac:dyDescent="0.5"/>
    <row r="210" s="2" customFormat="1" x14ac:dyDescent="0.5"/>
    <row r="211" s="2" customFormat="1" x14ac:dyDescent="0.5"/>
    <row r="212" s="2" customFormat="1" x14ac:dyDescent="0.5"/>
    <row r="213" s="2" customFormat="1" x14ac:dyDescent="0.5"/>
    <row r="214" s="2" customFormat="1" x14ac:dyDescent="0.5"/>
    <row r="215" s="2" customFormat="1" x14ac:dyDescent="0.5"/>
    <row r="216" s="2" customFormat="1" x14ac:dyDescent="0.5"/>
    <row r="217" s="2" customFormat="1" x14ac:dyDescent="0.5"/>
    <row r="218" s="2" customFormat="1" x14ac:dyDescent="0.5"/>
    <row r="219" s="2" customFormat="1" x14ac:dyDescent="0.5"/>
    <row r="220" s="2" customFormat="1" x14ac:dyDescent="0.5"/>
    <row r="221" s="2" customFormat="1" x14ac:dyDescent="0.5"/>
    <row r="222" s="2" customFormat="1" x14ac:dyDescent="0.5"/>
    <row r="223" s="2" customFormat="1" x14ac:dyDescent="0.5"/>
    <row r="224" s="2" customFormat="1" x14ac:dyDescent="0.5"/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pans="1:23" x14ac:dyDescent="0.5">
      <c r="A321" s="2"/>
      <c r="B321" s="2"/>
      <c r="D321" s="2"/>
      <c r="K321" s="2"/>
      <c r="N321" s="2"/>
      <c r="O321" s="2"/>
      <c r="P321" s="2"/>
      <c r="U321" s="2"/>
      <c r="V321" s="2"/>
      <c r="W321" s="2"/>
    </row>
    <row r="322" spans="1:23" x14ac:dyDescent="0.5">
      <c r="A322" s="2"/>
      <c r="B322" s="2"/>
      <c r="D322" s="2"/>
      <c r="K322" s="2"/>
      <c r="N322" s="2"/>
      <c r="O322" s="2"/>
      <c r="P322" s="2"/>
      <c r="U322" s="2"/>
      <c r="V322" s="2"/>
      <c r="W322" s="2"/>
    </row>
    <row r="323" spans="1:23" x14ac:dyDescent="0.5">
      <c r="A323" s="2"/>
      <c r="B323" s="2"/>
      <c r="D323" s="2"/>
      <c r="K323" s="2"/>
      <c r="N323" s="2"/>
      <c r="O323" s="2"/>
      <c r="P323" s="2"/>
      <c r="U323" s="2"/>
      <c r="V323" s="2"/>
      <c r="W323" s="2"/>
    </row>
    <row r="324" spans="1:23" x14ac:dyDescent="0.5">
      <c r="A324" s="2"/>
      <c r="B324" s="2"/>
      <c r="D324" s="2"/>
      <c r="K324" s="2"/>
      <c r="N324" s="2"/>
      <c r="O324" s="2"/>
      <c r="P324" s="2"/>
      <c r="U324" s="2"/>
      <c r="V324" s="2"/>
      <c r="W324" s="2"/>
    </row>
    <row r="325" spans="1:23" x14ac:dyDescent="0.5">
      <c r="A325" s="2"/>
      <c r="B325" s="2"/>
      <c r="D325" s="2"/>
      <c r="K325" s="2"/>
      <c r="N325" s="2"/>
      <c r="O325" s="2"/>
      <c r="P325" s="2"/>
      <c r="U325" s="2"/>
      <c r="V325" s="2"/>
      <c r="W325" s="2"/>
    </row>
    <row r="326" spans="1:23" x14ac:dyDescent="0.5">
      <c r="N326" s="2"/>
      <c r="O326" s="2"/>
      <c r="P326" s="2"/>
      <c r="U326" s="2"/>
      <c r="V326" s="2"/>
      <c r="W326" s="2"/>
    </row>
    <row r="327" spans="1:23" x14ac:dyDescent="0.5">
      <c r="N327" s="2"/>
      <c r="O327" s="2"/>
      <c r="P327" s="2"/>
      <c r="U327" s="2"/>
      <c r="V327" s="2"/>
      <c r="W327" s="2"/>
    </row>
    <row r="328" spans="1:23" x14ac:dyDescent="0.5">
      <c r="N328" s="2"/>
      <c r="O328" s="2"/>
      <c r="P328" s="2"/>
      <c r="U328" s="2"/>
      <c r="V328" s="2"/>
      <c r="W328" s="2"/>
    </row>
    <row r="329" spans="1:23" x14ac:dyDescent="0.5">
      <c r="N329" s="2"/>
      <c r="O329" s="2"/>
      <c r="P329" s="2"/>
      <c r="U329" s="2"/>
      <c r="V329" s="2"/>
      <c r="W329" s="2"/>
    </row>
  </sheetData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</dc:creator>
  <cp:lastModifiedBy>Jesus Fernandez</cp:lastModifiedBy>
  <dcterms:created xsi:type="dcterms:W3CDTF">2019-03-10T17:47:15Z</dcterms:created>
  <dcterms:modified xsi:type="dcterms:W3CDTF">2026-03-20T21:30:32Z</dcterms:modified>
</cp:coreProperties>
</file>